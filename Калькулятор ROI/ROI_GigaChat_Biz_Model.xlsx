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.grishaev/Documents/Claude/Projects/PMM/"/>
    </mc:Choice>
  </mc:AlternateContent>
  <xr:revisionPtr revIDLastSave="0" documentId="13_ncr:1_{8A909236-F9B1-DB4F-B836-4D9945B7D1AF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Модель ROI" sheetId="1" r:id="rId1"/>
    <sheet name="Справочники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5" i="1" l="1"/>
  <c r="B74" i="1"/>
  <c r="B73" i="1"/>
  <c r="B76" i="1" s="1"/>
  <c r="B77" i="1" s="1"/>
  <c r="E25" i="1" s="1"/>
  <c r="B67" i="1"/>
  <c r="B66" i="1"/>
  <c r="B69" i="1" s="1"/>
  <c r="B59" i="1"/>
  <c r="B58" i="1"/>
  <c r="B42" i="1"/>
  <c r="B41" i="1"/>
  <c r="B43" i="1" s="1"/>
  <c r="B45" i="1" s="1"/>
  <c r="B40" i="1"/>
  <c r="B31" i="1"/>
  <c r="B32" i="1" s="1"/>
  <c r="B61" i="1" l="1"/>
  <c r="B87" i="1"/>
  <c r="E9" i="1" s="1"/>
  <c r="B46" i="1"/>
  <c r="B35" i="1"/>
  <c r="B34" i="1"/>
  <c r="B33" i="1"/>
  <c r="B62" i="1"/>
  <c r="B60" i="1"/>
  <c r="B63" i="1" s="1"/>
  <c r="E23" i="1" s="1"/>
  <c r="B68" i="1"/>
  <c r="B70" i="1" s="1"/>
  <c r="E24" i="1" s="1"/>
  <c r="B37" i="1" l="1"/>
  <c r="B82" i="1" s="1"/>
  <c r="E27" i="1" s="1"/>
  <c r="B49" i="1"/>
  <c r="B48" i="1"/>
  <c r="B47" i="1"/>
  <c r="B86" i="1" l="1"/>
  <c r="E8" i="1" s="1"/>
  <c r="B55" i="1"/>
  <c r="E22" i="1" l="1"/>
  <c r="B81" i="1"/>
  <c r="B84" i="1" l="1"/>
  <c r="E26" i="1"/>
  <c r="B85" i="1" l="1"/>
  <c r="E7" i="1" s="1"/>
  <c r="E6" i="1"/>
</calcChain>
</file>

<file path=xl/sharedStrings.xml><?xml version="1.0" encoding="utf-8"?>
<sst xmlns="http://schemas.openxmlformats.org/spreadsheetml/2006/main" count="145" uniqueCount="127">
  <si>
    <t xml:space="preserve">  ГигаЧат Бизнес — Калькулятор ROI (3 года)</t>
  </si>
  <si>
    <t xml:space="preserve">  Адаптированная модель для российского рынка | Синий = входные данные | Чёрный = формула</t>
  </si>
  <si>
    <t>▶  ВХОДНЫЕ ПАРАМЕТРЫ</t>
  </si>
  <si>
    <t>▶  РЕЗУЛЬТАТЫ (3 ГОДА)</t>
  </si>
  <si>
    <t xml:space="preserve">  Отрасль</t>
  </si>
  <si>
    <t>IT и технологии</t>
  </si>
  <si>
    <t xml:space="preserve">  Чистая экономия (3 года)</t>
  </si>
  <si>
    <t xml:space="preserve">  Годовая выручка</t>
  </si>
  <si>
    <t>5–15 млрд руб.</t>
  </si>
  <si>
    <t xml:space="preserve">  ROI (%)</t>
  </si>
  <si>
    <t xml:space="preserve">  Число пользователей ГигаЧат (10–500)</t>
  </si>
  <si>
    <t xml:space="preserve">  Срок окупаемости</t>
  </si>
  <si>
    <t xml:space="preserve">  Уровень AI-зрелости</t>
  </si>
  <si>
    <t>Начальный (нет опыта)</t>
  </si>
  <si>
    <t xml:space="preserve">  Эквивалент FTE (год 3)</t>
  </si>
  <si>
    <t xml:space="preserve">  Агентский бюджет (руб./год)</t>
  </si>
  <si>
    <t xml:space="preserve">  Размер стека инструментов</t>
  </si>
  <si>
    <t>Средний (4–7 инструментов)</t>
  </si>
  <si>
    <t xml:space="preserve">  USE CASES (выбрать Да / Нет)</t>
  </si>
  <si>
    <t xml:space="preserve">  Генерация контента</t>
  </si>
  <si>
    <t>Да</t>
  </si>
  <si>
    <t xml:space="preserve">  Поддержка клиентов</t>
  </si>
  <si>
    <t xml:space="preserve">  Юридические документы</t>
  </si>
  <si>
    <t xml:space="preserve">  HR и онбординг</t>
  </si>
  <si>
    <t xml:space="preserve">  Аналитика и отчётность</t>
  </si>
  <si>
    <t xml:space="preserve">  Продажи и КП</t>
  </si>
  <si>
    <t xml:space="preserve">  РАЗБИВКА ВЫГОД (3 ГОДА)</t>
  </si>
  <si>
    <t xml:space="preserve">  Трудовые выгоды (ФОТ)</t>
  </si>
  <si>
    <t xml:space="preserve">  Выгоды по агентствам</t>
  </si>
  <si>
    <t xml:space="preserve">  Экономия на инструментах</t>
  </si>
  <si>
    <t xml:space="preserve">  Compliance / теневой AI</t>
  </si>
  <si>
    <t xml:space="preserve">  Итого выгоды (3 года)</t>
  </si>
  <si>
    <t xml:space="preserve">  Затраты на платформу (3 года)</t>
  </si>
  <si>
    <t xml:space="preserve">  БЛОК 1 — ЗАТРАТЫ НА ГИГАЧАТ БИЗНЕС</t>
  </si>
  <si>
    <t xml:space="preserve">  Базовая стоимость на пользователя/год, руб.</t>
  </si>
  <si>
    <t xml:space="preserve">  Рассчитанная стоимость (пользователи × база), руб.</t>
  </si>
  <si>
    <t xml:space="preserve">  Год 1 (с надбавкой за внедрение) — мин. 2 500 000 руб.</t>
  </si>
  <si>
    <t xml:space="preserve">  Год 2 (базовый)</t>
  </si>
  <si>
    <t xml:space="preserve">  Год 3 (скидка лояльности)</t>
  </si>
  <si>
    <t xml:space="preserve">  ИТОГО ЗАТРАТЫ (3 ГОДА)</t>
  </si>
  <si>
    <t xml:space="preserve">  БЛОК 2 — ТРУДОВЫЕ ВЫГОДЫ (экономия ФОТ)</t>
  </si>
  <si>
    <t xml:space="preserve">  Загруженный ФОТ сотрудника по отрасли, руб./год</t>
  </si>
  <si>
    <t xml:space="preserve">  Базовых часов экономии (AI-зрелость), ч/нед/польз.</t>
  </si>
  <si>
    <t xml:space="preserve">  Доп. часов от выбранных use cases, ч/нед/польз.</t>
  </si>
  <si>
    <t xml:space="preserve">  Итого часов экономии, ч/нед/польз.</t>
  </si>
  <si>
    <t xml:space="preserve">    Рабочих часов в год (35 ч × 52 нед)</t>
  </si>
  <si>
    <t xml:space="preserve">  FTE эквивалент (полная отдача)</t>
  </si>
  <si>
    <t xml:space="preserve">  Трудовые выгоды (полная отдача), руб./год</t>
  </si>
  <si>
    <t xml:space="preserve">  Трудовые выгоды — Год 1 (рамп 30%)</t>
  </si>
  <si>
    <t xml:space="preserve">  Трудовые выгоды — Год 2 (рамп 80%)</t>
  </si>
  <si>
    <t xml:space="preserve">  Трудовые выгоды — Год 3 (рамп 100%)</t>
  </si>
  <si>
    <t xml:space="preserve">  ИТОГО ТРУДОВЫЕ ВЫГОДЫ (3 ГОДА)</t>
  </si>
  <si>
    <t xml:space="preserve">  БЛОК 3 — ВЫГОДЫ ОТ ЗАМЕЩЕНИЯ АГЕНТСТВ</t>
  </si>
  <si>
    <t xml:space="preserve">  Агентский бюджет в год, руб.</t>
  </si>
  <si>
    <t xml:space="preserve">  Ставка замещения по отрасли</t>
  </si>
  <si>
    <t xml:space="preserve">  Агентские выгоды — Год 1</t>
  </si>
  <si>
    <t xml:space="preserve">  Агентские выгоды — Год 2</t>
  </si>
  <si>
    <t xml:space="preserve">  Агентские выгоды — Год 3</t>
  </si>
  <si>
    <t xml:space="preserve">  ИТОГО АГЕНТСКИЕ ВЫГОДЫ (3 ГОДА)</t>
  </si>
  <si>
    <t xml:space="preserve">  БЛОК 4 — ЭКОНОМИЯ НА ИНСТРУМЕНТАХ (консолидация стека)</t>
  </si>
  <si>
    <t xml:space="preserve">  Стоимость заменяемых инструментов, руб./польз./год</t>
  </si>
  <si>
    <t xml:space="preserve">  Ставка консолидации инструментов</t>
  </si>
  <si>
    <t xml:space="preserve">  Выгоды от консолидации — Год 1</t>
  </si>
  <si>
    <t xml:space="preserve">  Выгоды от консолидации — Год 2</t>
  </si>
  <si>
    <t xml:space="preserve">  ИТОГО ВЫГОДЫ ИНСТРУМЕНТЫ (3 ГОДА)</t>
  </si>
  <si>
    <t xml:space="preserve">  БЛОК 5 — COMPLIANCE И ТЕНЕВОЙ AI (152-ФЗ)</t>
  </si>
  <si>
    <t xml:space="preserve">  Расход на теневой AI, руб./польз./год</t>
  </si>
  <si>
    <t xml:space="preserve">  Доля сотрудников с теневым AI</t>
  </si>
  <si>
    <t xml:space="preserve">  Ставка замещения (снижение риска нарушений 152-ФЗ)</t>
  </si>
  <si>
    <t xml:space="preserve">  Годовые compliance-выгоды (теневой AI + риск)</t>
  </si>
  <si>
    <t xml:space="preserve">  ИТОГО COMPLIANCE ВЫГОДЫ (3 ГОДА)</t>
  </si>
  <si>
    <t xml:space="preserve">  ИТОГОВЫЕ ПОКАЗАТЕЛИ ROI</t>
  </si>
  <si>
    <t xml:space="preserve">  Общие выгоды (3 года), руб.</t>
  </si>
  <si>
    <t xml:space="preserve">  Общие затраты (3 года), руб.</t>
  </si>
  <si>
    <t xml:space="preserve">  Чистая экономия (3 года), руб.</t>
  </si>
  <si>
    <t xml:space="preserve">  Срок окупаемости, мес.</t>
  </si>
  <si>
    <t xml:space="preserve">  Эквивалент FTE (год 3, полная отдача)</t>
  </si>
  <si>
    <t>⚠ Все расчёты носят оценочный характер и не являются гарантией результата. Стоимость платформы (Таб. 7 Справочников) необходимо уточнить у менеджера ГигаЧат Бизнес. ФОТ указан с учётом страховых взносов (30.2%). Рамп-ап: год 1 — 30%, год 2 — 80%, год 3 — 100%.</t>
  </si>
  <si>
    <t>Таб. 1 — Загруженный ФОТ сотрудника по отраслям (руб./год)</t>
  </si>
  <si>
    <t>Отрасль</t>
  </si>
  <si>
    <t>ФОТ загруженный, руб./год</t>
  </si>
  <si>
    <t>Финансы и страхование</t>
  </si>
  <si>
    <t>Ритейл и FMCG</t>
  </si>
  <si>
    <t>Промышленность</t>
  </si>
  <si>
    <t>Профессиональные услуги</t>
  </si>
  <si>
    <t>Телеком и медиа</t>
  </si>
  <si>
    <t>Таб. 2 — Экономия времени по уровню AI-зрелости (ч/нед/польз.)</t>
  </si>
  <si>
    <t>Уровень AI-зрелости</t>
  </si>
  <si>
    <t>Часов/нед/пользователь</t>
  </si>
  <si>
    <t>Развивающийся (пилоты)</t>
  </si>
  <si>
    <t>Зрелый (AI в процессах)</t>
  </si>
  <si>
    <t>Таб. 3 — Ставка замещения агентских расходов по отраслям</t>
  </si>
  <si>
    <t>Ставка замещения</t>
  </si>
  <si>
    <t>Таб. 4 — Стоимость заменяемых инструментов (руб./польз./год)</t>
  </si>
  <si>
    <t>Размер стека</t>
  </si>
  <si>
    <t>Стоимость инструментов</t>
  </si>
  <si>
    <t>Малый (1–3 инструмента)</t>
  </si>
  <si>
    <t>Большой (8+ инструментов)</t>
  </si>
  <si>
    <t>Таб. 5 — Дополнительная экономия времени по use cases (ч/нед/польз.)</t>
  </si>
  <si>
    <t>Use Case</t>
  </si>
  <si>
    <t>Доп. часов/нед/польз.</t>
  </si>
  <si>
    <t>Генерация контента</t>
  </si>
  <si>
    <t>Поддержка клиентов</t>
  </si>
  <si>
    <t>Юридические документы</t>
  </si>
  <si>
    <t>HR и онбординг</t>
  </si>
  <si>
    <t>Аналитика и отчётность</t>
  </si>
  <si>
    <t>Продажи и КП</t>
  </si>
  <si>
    <t>Таб. 6 — Коэффициенты внедрения (рамп-ап) по годам</t>
  </si>
  <si>
    <t>Год</t>
  </si>
  <si>
    <t>Коэф. внедрения (от полной отдачи)</t>
  </si>
  <si>
    <t>Год 1</t>
  </si>
  <si>
    <t>Год 2</t>
  </si>
  <si>
    <t>Год 3</t>
  </si>
  <si>
    <t>Таб. 7 — Параметры ценообразования ГигаЧат Бизнес (SaaS) ⚠ уточнить</t>
  </si>
  <si>
    <t>Параметр</t>
  </si>
  <si>
    <t>Значение</t>
  </si>
  <si>
    <t>Базовая стоимость на польз./год, руб.</t>
  </si>
  <si>
    <t>Надбавка год 1 (внедрение)</t>
  </si>
  <si>
    <t>Скидка год 3 (лояльность)</t>
  </si>
  <si>
    <t>Минимальная стоимость в год, руб.</t>
  </si>
  <si>
    <t>Таб. 8 — Параметры compliance (теневой AI)</t>
  </si>
  <si>
    <t>Расход на теневой AI/польз./год, руб.</t>
  </si>
  <si>
    <t>Доля сотрудников с теневым AI</t>
  </si>
  <si>
    <t>Ставка замещения (снижение риска)</t>
  </si>
  <si>
    <t>Ставка консолидации инструментов</t>
  </si>
  <si>
    <t>Источники: red_mad_robot 2025, HeadHunter salary data, Superjob 2025, внутренние данные</t>
  </si>
  <si>
    <t>ФОТ включает страховые взносы (30.2%). Часы экономии — консервативная оценка на основе OpenAI/Microsoft productivity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</si>
</sst>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\ ##0&quot; руб.&quot;"/>
    <numFmt numFmtId="165" formatCode="0.0\%"/>
    <numFmt numFmtId="166" formatCode="#\ ##0"/>
    <numFmt numFmtId="167" formatCode="0&quot; мес.&quot;"/>
    <numFmt numFmtId="168" formatCode="0.0&quot; FTE&quot;"/>
    <numFmt numFmtId="169" formatCode="0.0&quot; ч/нед&quot;"/>
    <numFmt numFmtId="170" formatCode="#\ ##0&quot; ч&quot;"/>
    <numFmt numFmtId="171" formatCode="0.00&quot; FTE&quot;"/>
    <numFmt numFmtId="172" formatCode="0.0"/>
  </numFmts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404040"/>
      <name val="Arial"/>
      <family val="2"/>
    </font>
    <font>
      <b/>
      <sz val="10"/>
      <color rgb="FF0000FF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8000"/>
      <name val="Arial"/>
      <family val="2"/>
    </font>
    <font>
      <b/>
      <sz val="10"/>
      <color rgb="FF1F4E79"/>
      <name val="Arial"/>
      <family val="2"/>
    </font>
    <font>
      <sz val="10"/>
      <color rgb="FF0000FF"/>
      <name val="Arial"/>
      <family val="2"/>
    </font>
    <font>
      <b/>
      <sz val="12"/>
      <color rgb="FFFFFFFF"/>
      <name val="Arial"/>
      <family val="2"/>
    </font>
    <font>
      <sz val="9"/>
      <color rgb="FF7F7F7F"/>
      <name val="Arial"/>
      <family val="2"/>
    </font>
    <font>
      <b/>
      <sz val="10"/>
      <color rgb="FF000000"/>
      <name val="Arial"/>
      <family val="2"/>
    </font>
    <font>
      <i/>
      <sz val="9"/>
      <color rgb="FF7F7F7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5" fillId="7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right" vertical="center"/>
    </xf>
    <xf numFmtId="165" fontId="7" fillId="5" borderId="0" xfId="0" applyNumberFormat="1" applyFont="1" applyFill="1" applyAlignment="1">
      <alignment horizontal="right" vertical="center"/>
    </xf>
    <xf numFmtId="166" fontId="6" fillId="6" borderId="0" xfId="0" applyNumberFormat="1" applyFont="1" applyFill="1" applyAlignment="1">
      <alignment horizontal="right" vertical="center"/>
    </xf>
    <xf numFmtId="167" fontId="8" fillId="5" borderId="0" xfId="0" applyNumberFormat="1" applyFont="1" applyFill="1" applyAlignment="1">
      <alignment horizontal="right" vertical="center"/>
    </xf>
    <xf numFmtId="168" fontId="8" fillId="5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164" fontId="8" fillId="5" borderId="0" xfId="0" applyNumberFormat="1" applyFont="1" applyFill="1" applyAlignment="1">
      <alignment horizontal="right" vertical="center"/>
    </xf>
    <xf numFmtId="164" fontId="11" fillId="7" borderId="0" xfId="0" applyNumberFormat="1" applyFont="1" applyFill="1" applyAlignment="1">
      <alignment horizontal="right" vertical="center"/>
    </xf>
    <xf numFmtId="164" fontId="4" fillId="7" borderId="0" xfId="0" applyNumberFormat="1" applyFont="1" applyFill="1" applyAlignment="1">
      <alignment horizontal="right" vertical="center"/>
    </xf>
    <xf numFmtId="0" fontId="12" fillId="8" borderId="0" xfId="0" applyFont="1" applyFill="1" applyAlignment="1">
      <alignment horizontal="left" vertical="center"/>
    </xf>
    <xf numFmtId="164" fontId="12" fillId="8" borderId="0" xfId="0" applyNumberFormat="1" applyFont="1" applyFill="1" applyAlignment="1">
      <alignment horizontal="right" vertical="center"/>
    </xf>
    <xf numFmtId="169" fontId="11" fillId="7" borderId="0" xfId="0" applyNumberFormat="1" applyFont="1" applyFill="1" applyAlignment="1">
      <alignment horizontal="right" vertical="center"/>
    </xf>
    <xf numFmtId="169" fontId="4" fillId="7" borderId="0" xfId="0" applyNumberFormat="1" applyFont="1" applyFill="1" applyAlignment="1">
      <alignment horizontal="right" vertical="center"/>
    </xf>
    <xf numFmtId="170" fontId="13" fillId="7" borderId="0" xfId="0" applyNumberFormat="1" applyFont="1" applyFill="1" applyAlignment="1">
      <alignment horizontal="right" vertical="center"/>
    </xf>
    <xf numFmtId="171" fontId="4" fillId="7" borderId="0" xfId="0" applyNumberFormat="1" applyFont="1" applyFill="1" applyAlignment="1">
      <alignment horizontal="right" vertical="center"/>
    </xf>
    <xf numFmtId="164" fontId="13" fillId="7" borderId="0" xfId="0" applyNumberFormat="1" applyFont="1" applyFill="1" applyAlignment="1">
      <alignment horizontal="right" vertical="center"/>
    </xf>
    <xf numFmtId="9" fontId="11" fillId="7" borderId="0" xfId="0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164" fontId="14" fillId="2" borderId="0" xfId="0" applyNumberFormat="1" applyFont="1" applyFill="1" applyAlignment="1">
      <alignment horizontal="right" vertical="center"/>
    </xf>
    <xf numFmtId="165" fontId="14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1" fontId="12" fillId="8" borderId="0" xfId="0" applyNumberFormat="1" applyFont="1" applyFill="1" applyAlignment="1">
      <alignment horizontal="right" vertical="center"/>
    </xf>
    <xf numFmtId="0" fontId="16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166" fontId="13" fillId="7" borderId="0" xfId="0" applyNumberFormat="1" applyFont="1" applyFill="1" applyAlignment="1">
      <alignment horizontal="right" vertical="center"/>
    </xf>
    <xf numFmtId="172" fontId="13" fillId="7" borderId="0" xfId="0" applyNumberFormat="1" applyFont="1" applyFill="1" applyAlignment="1">
      <alignment horizontal="right" vertical="center"/>
    </xf>
    <xf numFmtId="9" fontId="13" fillId="7" borderId="0" xfId="0" applyNumberFormat="1" applyFont="1" applyFill="1" applyAlignment="1">
      <alignment horizontal="right" vertical="center"/>
    </xf>
    <xf numFmtId="0" fontId="16" fillId="9" borderId="0" xfId="0" applyFont="1" applyFill="1"/>
    <xf numFmtId="166" fontId="6" fillId="0" borderId="0" xfId="0" applyNumberFormat="1" applyFont="1" applyAlignment="1">
      <alignment horizontal="right" vertical="center"/>
    </xf>
    <xf numFmtId="9" fontId="6" fillId="0" borderId="0" xfId="0" applyNumberFormat="1" applyFont="1" applyAlignment="1">
      <alignment horizontal="right" vertical="center"/>
    </xf>
    <xf numFmtId="0" fontId="17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"/>
  <sheetViews>
    <sheetView tabSelected="1" topLeftCell="A10" zoomScale="150" zoomScaleNormal="100" workbookViewId="0">
      <selection activeCell="A93" sqref="A93"/>
    </sheetView>
  </sheetViews>
  <sheetFormatPr baseColWidth="10" defaultColWidth="8.6640625" defaultRowHeight="15" x14ac:dyDescent="0.2"/>
  <cols>
    <col min="1" max="1" width="40" customWidth="1"/>
    <col min="2" max="2" width="22" customWidth="1"/>
    <col min="3" max="3" width="3" customWidth="1"/>
    <col min="4" max="4" width="38" customWidth="1"/>
    <col min="5" max="5" width="22" customWidth="1"/>
    <col min="6" max="6" width="3" customWidth="1"/>
  </cols>
  <sheetData>
    <row r="1" spans="1:5" ht="39.75" customHeight="1" x14ac:dyDescent="0.2">
      <c r="A1" s="9" t="s">
        <v>0</v>
      </c>
      <c r="B1" s="9"/>
      <c r="C1" s="9"/>
      <c r="D1" s="9"/>
      <c r="E1" s="9"/>
    </row>
    <row r="2" spans="1:5" ht="19.5" customHeight="1" x14ac:dyDescent="0.2">
      <c r="A2" s="8" t="s">
        <v>1</v>
      </c>
      <c r="B2" s="8"/>
      <c r="C2" s="8"/>
      <c r="D2" s="8"/>
      <c r="E2" s="8"/>
    </row>
    <row r="4" spans="1:5" ht="18" customHeight="1" x14ac:dyDescent="0.2">
      <c r="A4" s="7" t="s">
        <v>2</v>
      </c>
      <c r="B4" s="7"/>
      <c r="D4" s="6" t="s">
        <v>3</v>
      </c>
      <c r="E4" s="6"/>
    </row>
    <row r="5" spans="1:5" ht="6" customHeight="1" x14ac:dyDescent="0.2">
      <c r="D5" s="5"/>
      <c r="E5" s="5"/>
    </row>
    <row r="6" spans="1:5" ht="19.5" customHeight="1" x14ac:dyDescent="0.2">
      <c r="A6" s="10" t="s">
        <v>4</v>
      </c>
      <c r="B6" s="11" t="s">
        <v>82</v>
      </c>
      <c r="D6" s="12" t="s">
        <v>6</v>
      </c>
      <c r="E6" s="13">
        <f>B84</f>
        <v>148322000</v>
      </c>
    </row>
    <row r="7" spans="1:5" ht="19.5" customHeight="1" x14ac:dyDescent="0.2">
      <c r="A7" s="10" t="s">
        <v>7</v>
      </c>
      <c r="B7" s="11" t="s">
        <v>8</v>
      </c>
      <c r="D7" s="12" t="s">
        <v>9</v>
      </c>
      <c r="E7" s="14">
        <f>B85</f>
        <v>868.39578454332559</v>
      </c>
    </row>
    <row r="8" spans="1:5" ht="19.5" customHeight="1" x14ac:dyDescent="0.2">
      <c r="A8" s="10" t="s">
        <v>10</v>
      </c>
      <c r="B8" s="15">
        <v>200</v>
      </c>
      <c r="D8" s="12" t="s">
        <v>11</v>
      </c>
      <c r="E8" s="16">
        <f>B86</f>
        <v>3</v>
      </c>
    </row>
    <row r="9" spans="1:5" ht="19.5" customHeight="1" x14ac:dyDescent="0.2">
      <c r="A9" s="10" t="s">
        <v>12</v>
      </c>
      <c r="B9" s="11" t="s">
        <v>89</v>
      </c>
      <c r="D9" s="12" t="s">
        <v>14</v>
      </c>
      <c r="E9" s="17">
        <f>B87</f>
        <v>42.857142857142854</v>
      </c>
    </row>
    <row r="10" spans="1:5" ht="19.5" customHeight="1" x14ac:dyDescent="0.2">
      <c r="A10" s="10" t="s">
        <v>15</v>
      </c>
      <c r="B10" s="15">
        <v>3000000</v>
      </c>
    </row>
    <row r="11" spans="1:5" ht="19.5" customHeight="1" x14ac:dyDescent="0.2">
      <c r="A11" s="10" t="s">
        <v>16</v>
      </c>
      <c r="B11" s="11" t="s">
        <v>17</v>
      </c>
    </row>
    <row r="13" spans="1:5" ht="15.75" customHeight="1" x14ac:dyDescent="0.2">
      <c r="A13" s="4" t="s">
        <v>18</v>
      </c>
      <c r="B13" s="4"/>
    </row>
    <row r="14" spans="1:5" ht="18" customHeight="1" x14ac:dyDescent="0.2">
      <c r="A14" s="18" t="s">
        <v>19</v>
      </c>
      <c r="B14" s="19" t="s">
        <v>20</v>
      </c>
    </row>
    <row r="15" spans="1:5" ht="18" customHeight="1" x14ac:dyDescent="0.2">
      <c r="A15" s="18" t="s">
        <v>21</v>
      </c>
      <c r="B15" s="19" t="s">
        <v>20</v>
      </c>
    </row>
    <row r="16" spans="1:5" ht="18" customHeight="1" x14ac:dyDescent="0.2">
      <c r="A16" s="18" t="s">
        <v>22</v>
      </c>
      <c r="B16" s="19" t="s">
        <v>20</v>
      </c>
    </row>
    <row r="17" spans="1:5" ht="18" customHeight="1" x14ac:dyDescent="0.2">
      <c r="A17" s="18" t="s">
        <v>23</v>
      </c>
      <c r="B17" s="19" t="s">
        <v>20</v>
      </c>
    </row>
    <row r="18" spans="1:5" ht="18" customHeight="1" x14ac:dyDescent="0.2">
      <c r="A18" s="18" t="s">
        <v>24</v>
      </c>
      <c r="B18" s="19" t="s">
        <v>20</v>
      </c>
    </row>
    <row r="19" spans="1:5" ht="18" customHeight="1" x14ac:dyDescent="0.2">
      <c r="A19" s="18" t="s">
        <v>25</v>
      </c>
      <c r="B19" s="19" t="s">
        <v>20</v>
      </c>
    </row>
    <row r="20" spans="1:5" ht="6" customHeight="1" x14ac:dyDescent="0.2">
      <c r="D20" s="5"/>
      <c r="E20" s="5"/>
    </row>
    <row r="21" spans="1:5" ht="15" customHeight="1" x14ac:dyDescent="0.2">
      <c r="D21" s="4" t="s">
        <v>26</v>
      </c>
      <c r="E21" s="4"/>
    </row>
    <row r="22" spans="1:5" ht="15" customHeight="1" x14ac:dyDescent="0.2">
      <c r="D22" s="12" t="s">
        <v>27</v>
      </c>
      <c r="E22" s="20">
        <f>B55</f>
        <v>162000000</v>
      </c>
    </row>
    <row r="23" spans="1:5" ht="15" customHeight="1" x14ac:dyDescent="0.2">
      <c r="D23" s="12" t="s">
        <v>28</v>
      </c>
      <c r="E23" s="20">
        <f>B63</f>
        <v>1575000</v>
      </c>
    </row>
    <row r="24" spans="1:5" ht="15" customHeight="1" x14ac:dyDescent="0.2">
      <c r="D24" s="12" t="s">
        <v>29</v>
      </c>
      <c r="E24" s="20">
        <f>B70</f>
        <v>1323000</v>
      </c>
    </row>
    <row r="25" spans="1:5" ht="15" customHeight="1" x14ac:dyDescent="0.2">
      <c r="D25" s="12" t="s">
        <v>30</v>
      </c>
      <c r="E25" s="20">
        <f>B77</f>
        <v>504000</v>
      </c>
    </row>
    <row r="26" spans="1:5" ht="15" customHeight="1" x14ac:dyDescent="0.2">
      <c r="D26" s="12" t="s">
        <v>31</v>
      </c>
      <c r="E26" s="20">
        <f>B81</f>
        <v>165402000</v>
      </c>
    </row>
    <row r="27" spans="1:5" ht="15" customHeight="1" x14ac:dyDescent="0.2">
      <c r="D27" s="12" t="s">
        <v>32</v>
      </c>
      <c r="E27" s="20">
        <f>B82</f>
        <v>17080000</v>
      </c>
    </row>
    <row r="29" spans="1:5" ht="7.5" customHeight="1" x14ac:dyDescent="0.2">
      <c r="A29" s="3"/>
      <c r="B29" s="3"/>
      <c r="C29" s="3"/>
      <c r="D29" s="3"/>
      <c r="E29" s="3"/>
    </row>
    <row r="30" spans="1:5" ht="19.5" customHeight="1" x14ac:dyDescent="0.2">
      <c r="A30" s="2" t="s">
        <v>33</v>
      </c>
      <c r="B30" s="2"/>
      <c r="C30" s="2"/>
      <c r="D30" s="2"/>
      <c r="E30" s="2"/>
    </row>
    <row r="31" spans="1:5" ht="18" customHeight="1" x14ac:dyDescent="0.2">
      <c r="A31" s="18" t="s">
        <v>34</v>
      </c>
      <c r="B31" s="21">
        <f>Справочники!B49</f>
        <v>28000</v>
      </c>
    </row>
    <row r="32" spans="1:5" ht="18" customHeight="1" x14ac:dyDescent="0.2">
      <c r="A32" s="18" t="s">
        <v>35</v>
      </c>
      <c r="B32" s="22">
        <f>B8*B31</f>
        <v>5600000</v>
      </c>
    </row>
    <row r="33" spans="1:5" ht="18" customHeight="1" x14ac:dyDescent="0.2">
      <c r="A33" s="18" t="s">
        <v>36</v>
      </c>
      <c r="B33" s="22">
        <f>MAX(B32*(1+Справочники!B50), Справочники!B52)</f>
        <v>6439999.9999999991</v>
      </c>
    </row>
    <row r="34" spans="1:5" ht="18" customHeight="1" x14ac:dyDescent="0.2">
      <c r="A34" s="18" t="s">
        <v>37</v>
      </c>
      <c r="B34" s="22">
        <f>MAX(B32, Справочники!B52)</f>
        <v>5600000</v>
      </c>
    </row>
    <row r="35" spans="1:5" ht="18" customHeight="1" x14ac:dyDescent="0.2">
      <c r="A35" s="18" t="s">
        <v>38</v>
      </c>
      <c r="B35" s="22">
        <f>MAX(B32*(1-Справочники!B51), Справочники!B52)</f>
        <v>5040000</v>
      </c>
    </row>
    <row r="36" spans="1:5" ht="3.75" customHeight="1" x14ac:dyDescent="0.2"/>
    <row r="37" spans="1:5" ht="19.5" customHeight="1" x14ac:dyDescent="0.2">
      <c r="A37" s="23" t="s">
        <v>39</v>
      </c>
      <c r="B37" s="24">
        <f>B33+B34+B35</f>
        <v>17080000</v>
      </c>
    </row>
    <row r="38" spans="1:5" ht="6" customHeight="1" x14ac:dyDescent="0.2"/>
    <row r="39" spans="1:5" ht="19.5" customHeight="1" x14ac:dyDescent="0.2">
      <c r="A39" s="2" t="s">
        <v>40</v>
      </c>
      <c r="B39" s="2"/>
      <c r="C39" s="2"/>
      <c r="D39" s="2"/>
      <c r="E39" s="2"/>
    </row>
    <row r="40" spans="1:5" ht="18" customHeight="1" x14ac:dyDescent="0.2">
      <c r="A40" s="18" t="s">
        <v>41</v>
      </c>
      <c r="B40" s="21">
        <f>IFERROR(INDEX(Справочники!$B$4:$B$9,MATCH($B$6,Справочники!$A$4:$A$9,0)),2000000)</f>
        <v>1800000</v>
      </c>
    </row>
    <row r="41" spans="1:5" ht="18" customHeight="1" x14ac:dyDescent="0.2">
      <c r="A41" s="18" t="s">
        <v>42</v>
      </c>
      <c r="B41" s="25">
        <f>IFERROR(INDEX(Справочники!$B$13:$B$15,MATCH($B$9,Справочники!$A$13:$A$15,0)),2.5)</f>
        <v>4</v>
      </c>
    </row>
    <row r="42" spans="1:5" ht="18" customHeight="1" x14ac:dyDescent="0.2">
      <c r="A42" s="18" t="s">
        <v>43</v>
      </c>
      <c r="B42" s="26">
        <f>SUMPRODUCT((B14:B19="Да")*Справочники!$B$34:$B$39)</f>
        <v>3.5</v>
      </c>
    </row>
    <row r="43" spans="1:5" ht="18" customHeight="1" x14ac:dyDescent="0.2">
      <c r="A43" s="18" t="s">
        <v>44</v>
      </c>
      <c r="B43" s="26">
        <f>B41+B42</f>
        <v>7.5</v>
      </c>
    </row>
    <row r="44" spans="1:5" ht="18" customHeight="1" x14ac:dyDescent="0.2">
      <c r="A44" s="18" t="s">
        <v>45</v>
      </c>
      <c r="B44" s="27">
        <v>1820</v>
      </c>
    </row>
    <row r="45" spans="1:5" ht="18" customHeight="1" x14ac:dyDescent="0.2">
      <c r="A45" s="18" t="s">
        <v>46</v>
      </c>
      <c r="B45" s="28">
        <f>B8*B43*52/B44</f>
        <v>42.857142857142854</v>
      </c>
    </row>
    <row r="46" spans="1:5" ht="18" customHeight="1" x14ac:dyDescent="0.2">
      <c r="A46" s="18" t="s">
        <v>47</v>
      </c>
      <c r="B46" s="22">
        <f>B45*B40</f>
        <v>77142857.142857134</v>
      </c>
    </row>
    <row r="47" spans="1:5" ht="18" customHeight="1" x14ac:dyDescent="0.2">
      <c r="A47" s="18" t="s">
        <v>48</v>
      </c>
      <c r="B47" s="21">
        <f>B46*Справочники!$B$43</f>
        <v>23142857.142857138</v>
      </c>
    </row>
    <row r="48" spans="1:5" ht="18" customHeight="1" x14ac:dyDescent="0.2">
      <c r="A48" s="18" t="s">
        <v>49</v>
      </c>
      <c r="B48" s="21">
        <f>B46*Справочники!$B$44</f>
        <v>61714285.714285709</v>
      </c>
    </row>
    <row r="49" spans="1:5" ht="18" customHeight="1" x14ac:dyDescent="0.2">
      <c r="A49" s="18" t="s">
        <v>50</v>
      </c>
      <c r="B49" s="21">
        <f>B46*Справочники!$B$45</f>
        <v>77142857.142857134</v>
      </c>
    </row>
    <row r="50" spans="1:5" ht="3.75" customHeight="1" x14ac:dyDescent="0.2"/>
    <row r="55" spans="1:5" ht="19.5" customHeight="1" x14ac:dyDescent="0.2">
      <c r="A55" s="23" t="s">
        <v>51</v>
      </c>
      <c r="B55" s="24">
        <f>B47+B48+B49</f>
        <v>162000000</v>
      </c>
    </row>
    <row r="56" spans="1:5" ht="6" customHeight="1" x14ac:dyDescent="0.2"/>
    <row r="57" spans="1:5" ht="19.5" customHeight="1" x14ac:dyDescent="0.2">
      <c r="A57" s="2" t="s">
        <v>52</v>
      </c>
      <c r="B57" s="2"/>
      <c r="C57" s="2"/>
      <c r="D57" s="2"/>
      <c r="E57" s="2"/>
    </row>
    <row r="58" spans="1:5" ht="18" customHeight="1" x14ac:dyDescent="0.2">
      <c r="A58" s="18" t="s">
        <v>53</v>
      </c>
      <c r="B58" s="29">
        <f>B10</f>
        <v>3000000</v>
      </c>
    </row>
    <row r="59" spans="1:5" ht="18" customHeight="1" x14ac:dyDescent="0.2">
      <c r="A59" s="18" t="s">
        <v>54</v>
      </c>
      <c r="B59" s="30">
        <f>IFERROR(INDEX(Справочники!$B$19:$B$24,MATCH($B$6,Справочники!$A$19:$A$24,0)),0.15)</f>
        <v>0.25</v>
      </c>
    </row>
    <row r="60" spans="1:5" ht="18" customHeight="1" x14ac:dyDescent="0.2">
      <c r="A60" s="18" t="s">
        <v>55</v>
      </c>
      <c r="B60" s="22">
        <f>B58*B59*Справочники!$B$43</f>
        <v>225000</v>
      </c>
    </row>
    <row r="61" spans="1:5" ht="18" customHeight="1" x14ac:dyDescent="0.2">
      <c r="A61" s="18" t="s">
        <v>56</v>
      </c>
      <c r="B61" s="22">
        <f>B58*B59*Справочники!$B$44</f>
        <v>600000</v>
      </c>
    </row>
    <row r="62" spans="1:5" ht="18" customHeight="1" x14ac:dyDescent="0.2">
      <c r="A62" s="18" t="s">
        <v>57</v>
      </c>
      <c r="B62" s="22">
        <f>B58*B59*Справочники!$B$45</f>
        <v>750000</v>
      </c>
    </row>
    <row r="63" spans="1:5" ht="19.5" customHeight="1" x14ac:dyDescent="0.2">
      <c r="A63" s="23" t="s">
        <v>58</v>
      </c>
      <c r="B63" s="24">
        <f>B60+B61+B62</f>
        <v>1575000</v>
      </c>
    </row>
    <row r="64" spans="1:5" ht="6" customHeight="1" x14ac:dyDescent="0.2"/>
    <row r="65" spans="1:5" ht="19.5" customHeight="1" x14ac:dyDescent="0.2">
      <c r="A65" s="2" t="s">
        <v>59</v>
      </c>
      <c r="B65" s="2"/>
      <c r="C65" s="2"/>
      <c r="D65" s="2"/>
      <c r="E65" s="2"/>
    </row>
    <row r="66" spans="1:5" ht="18" customHeight="1" x14ac:dyDescent="0.2">
      <c r="A66" s="18" t="s">
        <v>60</v>
      </c>
      <c r="B66" s="21">
        <f>IFERROR(INDEX(Справочники!$B$28:$B$30,MATCH($B$11,Справочники!$A$28:$A$30,0)),7000)</f>
        <v>7000</v>
      </c>
    </row>
    <row r="67" spans="1:5" ht="18" customHeight="1" x14ac:dyDescent="0.2">
      <c r="A67" s="18" t="s">
        <v>61</v>
      </c>
      <c r="B67" s="30">
        <f>Справочники!B59</f>
        <v>0.45</v>
      </c>
    </row>
    <row r="68" spans="1:5" ht="18" customHeight="1" x14ac:dyDescent="0.2">
      <c r="A68" s="18" t="s">
        <v>62</v>
      </c>
      <c r="B68" s="22">
        <f>B8*B66*B67*Справочники!$B$43</f>
        <v>189000</v>
      </c>
    </row>
    <row r="69" spans="1:5" ht="18" customHeight="1" x14ac:dyDescent="0.2">
      <c r="A69" s="18" t="s">
        <v>63</v>
      </c>
      <c r="B69" s="22">
        <f>B8*B66*B67*Справочники!$B$44</f>
        <v>504000</v>
      </c>
    </row>
    <row r="70" spans="1:5" ht="19.5" customHeight="1" x14ac:dyDescent="0.2">
      <c r="A70" s="23" t="s">
        <v>64</v>
      </c>
      <c r="B70" s="24">
        <f>B68+B69+B8*B66*B67*Справочники!$B$45</f>
        <v>1323000</v>
      </c>
    </row>
    <row r="71" spans="1:5" ht="6" customHeight="1" x14ac:dyDescent="0.2"/>
    <row r="72" spans="1:5" ht="19.5" customHeight="1" x14ac:dyDescent="0.2">
      <c r="A72" s="2" t="s">
        <v>65</v>
      </c>
      <c r="B72" s="2"/>
      <c r="C72" s="2"/>
      <c r="D72" s="2"/>
      <c r="E72" s="2"/>
    </row>
    <row r="73" spans="1:5" ht="18" customHeight="1" x14ac:dyDescent="0.2">
      <c r="A73" s="18" t="s">
        <v>66</v>
      </c>
      <c r="B73" s="21">
        <f>Справочники!B56</f>
        <v>4200</v>
      </c>
    </row>
    <row r="74" spans="1:5" ht="18" customHeight="1" x14ac:dyDescent="0.2">
      <c r="A74" s="18" t="s">
        <v>67</v>
      </c>
      <c r="B74" s="30">
        <f>Справочники!B57</f>
        <v>0.4</v>
      </c>
    </row>
    <row r="75" spans="1:5" ht="18" customHeight="1" x14ac:dyDescent="0.2">
      <c r="A75" s="18" t="s">
        <v>68</v>
      </c>
      <c r="B75" s="30">
        <f>Справочники!B58</f>
        <v>0.5</v>
      </c>
    </row>
    <row r="76" spans="1:5" ht="18" customHeight="1" x14ac:dyDescent="0.2">
      <c r="A76" s="18" t="s">
        <v>69</v>
      </c>
      <c r="B76" s="22">
        <f>B8*B73*B74*B75</f>
        <v>168000</v>
      </c>
    </row>
    <row r="77" spans="1:5" ht="19.5" customHeight="1" x14ac:dyDescent="0.2">
      <c r="A77" s="23" t="s">
        <v>70</v>
      </c>
      <c r="B77" s="24">
        <f>B76*3</f>
        <v>504000</v>
      </c>
    </row>
    <row r="78" spans="1:5" ht="6" customHeight="1" x14ac:dyDescent="0.2"/>
    <row r="79" spans="1:5" ht="3.75" customHeight="1" x14ac:dyDescent="0.2"/>
    <row r="80" spans="1:5" ht="19.5" customHeight="1" x14ac:dyDescent="0.2">
      <c r="A80" s="2" t="s">
        <v>71</v>
      </c>
      <c r="B80" s="2"/>
      <c r="C80" s="2"/>
      <c r="D80" s="2"/>
      <c r="E80" s="2"/>
    </row>
    <row r="81" spans="1:5" ht="18" customHeight="1" x14ac:dyDescent="0.2">
      <c r="A81" s="18" t="s">
        <v>72</v>
      </c>
      <c r="B81" s="22">
        <f>B55+B63+B70+B77</f>
        <v>165402000</v>
      </c>
    </row>
    <row r="82" spans="1:5" ht="18" customHeight="1" x14ac:dyDescent="0.2">
      <c r="A82" s="18" t="s">
        <v>73</v>
      </c>
      <c r="B82" s="22">
        <f>B37</f>
        <v>17080000</v>
      </c>
    </row>
    <row r="83" spans="1:5" ht="3.75" customHeight="1" x14ac:dyDescent="0.2"/>
    <row r="84" spans="1:5" ht="24" customHeight="1" x14ac:dyDescent="0.2">
      <c r="A84" s="31" t="s">
        <v>74</v>
      </c>
      <c r="B84" s="32">
        <f>B81-B82</f>
        <v>148322000</v>
      </c>
    </row>
    <row r="85" spans="1:5" ht="24" customHeight="1" x14ac:dyDescent="0.2">
      <c r="A85" s="31" t="s">
        <v>9</v>
      </c>
      <c r="B85" s="33">
        <f>IFERROR((B84/B82)*100,0)</f>
        <v>868.39578454332559</v>
      </c>
    </row>
    <row r="86" spans="1:5" ht="24" customHeight="1" x14ac:dyDescent="0.2">
      <c r="A86" s="31" t="s">
        <v>75</v>
      </c>
      <c r="B86" s="34">
        <f>IFERROR(IF((B47-B33)&gt;=0, ROUND(B33/B47*12,0), IF((B47+B48-B33-B34)&gt;=0, 12+ROUND((B33+B34-B47)/B48*12,0), "&gt;24")), "-")</f>
        <v>3</v>
      </c>
    </row>
    <row r="87" spans="1:5" ht="19.5" customHeight="1" x14ac:dyDescent="0.2">
      <c r="A87" s="23" t="s">
        <v>76</v>
      </c>
      <c r="B87" s="35">
        <f>B45</f>
        <v>42.857142857142854</v>
      </c>
    </row>
    <row r="89" spans="1:5" ht="9.75" customHeight="1" x14ac:dyDescent="0.2"/>
    <row r="90" spans="1:5" ht="30" customHeight="1" x14ac:dyDescent="0.2">
      <c r="A90" s="1" t="s">
        <v>77</v>
      </c>
      <c r="B90" s="1"/>
      <c r="C90" s="1"/>
      <c r="D90" s="1"/>
      <c r="E90" s="1"/>
    </row>
  </sheetData>
  <mergeCells count="16">
    <mergeCell ref="A90:E90"/>
    <mergeCell ref="A39:E39"/>
    <mergeCell ref="A57:E57"/>
    <mergeCell ref="A65:E65"/>
    <mergeCell ref="A72:E72"/>
    <mergeCell ref="A80:E80"/>
    <mergeCell ref="A13:B13"/>
    <mergeCell ref="D20:E20"/>
    <mergeCell ref="D21:E21"/>
    <mergeCell ref="A29:E29"/>
    <mergeCell ref="A30:E30"/>
    <mergeCell ref="A1:E1"/>
    <mergeCell ref="A2:E2"/>
    <mergeCell ref="A4:B4"/>
    <mergeCell ref="D4:E4"/>
    <mergeCell ref="D5:E5"/>
  </mergeCells>
  <dataValidations count="5">
    <dataValidation type="list" sqref="B14:B19" xr:uid="{00000000-0002-0000-0000-000000000000}">
      <formula1>"Да,Нет"</formula1>
      <formula2>0</formula2>
    </dataValidation>
    <dataValidation type="list" sqref="B6" xr:uid="{00000000-0002-0000-0000-000001000000}">
      <formula1>"IT и технологии,Финансы и страхование,Ритейл и FMCG,Промышленность,Профессиональные услуги,Телеком и медиа"</formula1>
      <formula2>0</formula2>
    </dataValidation>
    <dataValidation type="list" sqref="B7" xr:uid="{00000000-0002-0000-0000-000002000000}">
      <formula1>"до 1 млрд руб.,1–5 млрд руб.,5–15 млрд руб.,15–50 млрд руб.,50–150 млрд руб.,свыше 150 млрд руб."</formula1>
      <formula2>0</formula2>
    </dataValidation>
    <dataValidation type="list" sqref="B9" xr:uid="{00000000-0002-0000-0000-000003000000}">
      <formula1>"Начальный (нет опыта),Развивающийся (пилоты),Зрелый (AI в процессах)"</formula1>
      <formula2>0</formula2>
    </dataValidation>
    <dataValidation type="list" sqref="B11" xr:uid="{00000000-0002-0000-0000-000004000000}">
      <formula1>"Малый (1–3 инструмента),Средний (4–7 инструментов),Большой (8+ инструментов)"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3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2" width="22" customWidth="1"/>
    <col min="3" max="3" width="5" customWidth="1"/>
    <col min="4" max="4" width="42" customWidth="1"/>
    <col min="5" max="5" width="22" customWidth="1"/>
  </cols>
  <sheetData>
    <row r="2" spans="1:2" ht="15" customHeight="1" x14ac:dyDescent="0.2">
      <c r="A2" s="7" t="s">
        <v>78</v>
      </c>
      <c r="B2" s="7"/>
    </row>
    <row r="3" spans="1:2" ht="15" customHeight="1" x14ac:dyDescent="0.2">
      <c r="A3" s="36" t="s">
        <v>79</v>
      </c>
      <c r="B3" s="36" t="s">
        <v>80</v>
      </c>
    </row>
    <row r="4" spans="1:2" ht="15" customHeight="1" x14ac:dyDescent="0.2">
      <c r="A4" s="37" t="s">
        <v>5</v>
      </c>
      <c r="B4" s="38">
        <v>2400000</v>
      </c>
    </row>
    <row r="5" spans="1:2" ht="15" customHeight="1" x14ac:dyDescent="0.2">
      <c r="A5" s="37" t="s">
        <v>81</v>
      </c>
      <c r="B5" s="38">
        <v>2800000</v>
      </c>
    </row>
    <row r="6" spans="1:2" ht="15" customHeight="1" x14ac:dyDescent="0.2">
      <c r="A6" s="37" t="s">
        <v>82</v>
      </c>
      <c r="B6" s="38">
        <v>1800000</v>
      </c>
    </row>
    <row r="7" spans="1:2" ht="15" customHeight="1" x14ac:dyDescent="0.2">
      <c r="A7" s="37" t="s">
        <v>83</v>
      </c>
      <c r="B7" s="38">
        <v>1600000</v>
      </c>
    </row>
    <row r="8" spans="1:2" ht="15" customHeight="1" x14ac:dyDescent="0.2">
      <c r="A8" s="37" t="s">
        <v>84</v>
      </c>
      <c r="B8" s="38">
        <v>2200000</v>
      </c>
    </row>
    <row r="9" spans="1:2" ht="15" customHeight="1" x14ac:dyDescent="0.2">
      <c r="A9" s="37" t="s">
        <v>85</v>
      </c>
      <c r="B9" s="38">
        <v>2000000</v>
      </c>
    </row>
    <row r="11" spans="1:2" ht="15" customHeight="1" x14ac:dyDescent="0.2">
      <c r="A11" s="7" t="s">
        <v>86</v>
      </c>
      <c r="B11" s="7"/>
    </row>
    <row r="12" spans="1:2" ht="15" customHeight="1" x14ac:dyDescent="0.2">
      <c r="A12" s="36" t="s">
        <v>87</v>
      </c>
      <c r="B12" s="36" t="s">
        <v>88</v>
      </c>
    </row>
    <row r="13" spans="1:2" ht="15" customHeight="1" x14ac:dyDescent="0.2">
      <c r="A13" s="37" t="s">
        <v>13</v>
      </c>
      <c r="B13" s="39">
        <v>2.5</v>
      </c>
    </row>
    <row r="14" spans="1:2" ht="15" customHeight="1" x14ac:dyDescent="0.2">
      <c r="A14" s="37" t="s">
        <v>89</v>
      </c>
      <c r="B14" s="39">
        <v>4</v>
      </c>
    </row>
    <row r="15" spans="1:2" ht="15" customHeight="1" x14ac:dyDescent="0.2">
      <c r="A15" s="37" t="s">
        <v>90</v>
      </c>
      <c r="B15" s="39">
        <v>6</v>
      </c>
    </row>
    <row r="17" spans="1:2" ht="15" customHeight="1" x14ac:dyDescent="0.2">
      <c r="A17" s="7" t="s">
        <v>91</v>
      </c>
      <c r="B17" s="7"/>
    </row>
    <row r="18" spans="1:2" ht="15" customHeight="1" x14ac:dyDescent="0.2">
      <c r="A18" s="36" t="s">
        <v>79</v>
      </c>
      <c r="B18" s="36" t="s">
        <v>92</v>
      </c>
    </row>
    <row r="19" spans="1:2" ht="15" customHeight="1" x14ac:dyDescent="0.2">
      <c r="A19" s="37" t="s">
        <v>5</v>
      </c>
      <c r="B19" s="40">
        <v>0.2</v>
      </c>
    </row>
    <row r="20" spans="1:2" ht="15" customHeight="1" x14ac:dyDescent="0.2">
      <c r="A20" s="37" t="s">
        <v>81</v>
      </c>
      <c r="B20" s="40">
        <v>0.15</v>
      </c>
    </row>
    <row r="21" spans="1:2" ht="15" customHeight="1" x14ac:dyDescent="0.2">
      <c r="A21" s="37" t="s">
        <v>82</v>
      </c>
      <c r="B21" s="40">
        <v>0.25</v>
      </c>
    </row>
    <row r="22" spans="1:2" ht="15" customHeight="1" x14ac:dyDescent="0.2">
      <c r="A22" s="37" t="s">
        <v>83</v>
      </c>
      <c r="B22" s="40">
        <v>0.12</v>
      </c>
    </row>
    <row r="23" spans="1:2" ht="15" customHeight="1" x14ac:dyDescent="0.2">
      <c r="A23" s="37" t="s">
        <v>84</v>
      </c>
      <c r="B23" s="40">
        <v>0.15</v>
      </c>
    </row>
    <row r="24" spans="1:2" ht="15" customHeight="1" x14ac:dyDescent="0.2">
      <c r="A24" s="37" t="s">
        <v>85</v>
      </c>
      <c r="B24" s="40">
        <v>0.2</v>
      </c>
    </row>
    <row r="26" spans="1:2" ht="15" customHeight="1" x14ac:dyDescent="0.2">
      <c r="A26" s="7" t="s">
        <v>93</v>
      </c>
      <c r="B26" s="7"/>
    </row>
    <row r="27" spans="1:2" ht="15" customHeight="1" x14ac:dyDescent="0.2">
      <c r="A27" s="36" t="s">
        <v>94</v>
      </c>
      <c r="B27" s="36" t="s">
        <v>95</v>
      </c>
    </row>
    <row r="28" spans="1:2" ht="15" customHeight="1" x14ac:dyDescent="0.2">
      <c r="A28" s="37" t="s">
        <v>96</v>
      </c>
      <c r="B28" s="38">
        <v>3500</v>
      </c>
    </row>
    <row r="29" spans="1:2" ht="15" customHeight="1" x14ac:dyDescent="0.2">
      <c r="A29" s="37" t="s">
        <v>17</v>
      </c>
      <c r="B29" s="38">
        <v>7000</v>
      </c>
    </row>
    <row r="30" spans="1:2" ht="15" customHeight="1" x14ac:dyDescent="0.2">
      <c r="A30" s="37" t="s">
        <v>97</v>
      </c>
      <c r="B30" s="38">
        <v>12000</v>
      </c>
    </row>
    <row r="32" spans="1:2" ht="15" customHeight="1" x14ac:dyDescent="0.2">
      <c r="A32" s="7" t="s">
        <v>98</v>
      </c>
      <c r="B32" s="7"/>
    </row>
    <row r="33" spans="1:2" ht="15" customHeight="1" x14ac:dyDescent="0.2">
      <c r="A33" s="36" t="s">
        <v>99</v>
      </c>
      <c r="B33" s="36" t="s">
        <v>100</v>
      </c>
    </row>
    <row r="34" spans="1:2" ht="15" customHeight="1" x14ac:dyDescent="0.2">
      <c r="A34" s="37" t="s">
        <v>101</v>
      </c>
      <c r="B34" s="39">
        <v>0.8</v>
      </c>
    </row>
    <row r="35" spans="1:2" ht="15" customHeight="1" x14ac:dyDescent="0.2">
      <c r="A35" s="37" t="s">
        <v>102</v>
      </c>
      <c r="B35" s="39">
        <v>0.5</v>
      </c>
    </row>
    <row r="36" spans="1:2" ht="15" customHeight="1" x14ac:dyDescent="0.2">
      <c r="A36" s="37" t="s">
        <v>103</v>
      </c>
      <c r="B36" s="39">
        <v>0.6</v>
      </c>
    </row>
    <row r="37" spans="1:2" ht="15" customHeight="1" x14ac:dyDescent="0.2">
      <c r="A37" s="37" t="s">
        <v>104</v>
      </c>
      <c r="B37" s="39">
        <v>0.4</v>
      </c>
    </row>
    <row r="38" spans="1:2" ht="15" customHeight="1" x14ac:dyDescent="0.2">
      <c r="A38" s="37" t="s">
        <v>105</v>
      </c>
      <c r="B38" s="39">
        <v>0.5</v>
      </c>
    </row>
    <row r="39" spans="1:2" ht="15" customHeight="1" x14ac:dyDescent="0.2">
      <c r="A39" s="37" t="s">
        <v>106</v>
      </c>
      <c r="B39" s="39">
        <v>0.7</v>
      </c>
    </row>
    <row r="41" spans="1:2" ht="15" customHeight="1" x14ac:dyDescent="0.2">
      <c r="A41" s="7" t="s">
        <v>107</v>
      </c>
      <c r="B41" s="7"/>
    </row>
    <row r="42" spans="1:2" ht="15" customHeight="1" x14ac:dyDescent="0.2">
      <c r="A42" s="36" t="s">
        <v>108</v>
      </c>
      <c r="B42" s="36" t="s">
        <v>109</v>
      </c>
    </row>
    <row r="43" spans="1:2" ht="15" customHeight="1" x14ac:dyDescent="0.2">
      <c r="A43" s="37" t="s">
        <v>110</v>
      </c>
      <c r="B43" s="40">
        <v>0.3</v>
      </c>
    </row>
    <row r="44" spans="1:2" ht="15" customHeight="1" x14ac:dyDescent="0.2">
      <c r="A44" s="37" t="s">
        <v>111</v>
      </c>
      <c r="B44" s="40">
        <v>0.8</v>
      </c>
    </row>
    <row r="45" spans="1:2" ht="15" customHeight="1" x14ac:dyDescent="0.2">
      <c r="A45" s="37" t="s">
        <v>112</v>
      </c>
      <c r="B45" s="40">
        <v>1</v>
      </c>
    </row>
    <row r="47" spans="1:2" ht="15" customHeight="1" x14ac:dyDescent="0.2">
      <c r="A47" s="7" t="s">
        <v>113</v>
      </c>
      <c r="B47" s="7"/>
    </row>
    <row r="48" spans="1:2" ht="15" customHeight="1" x14ac:dyDescent="0.2">
      <c r="A48" s="36" t="s">
        <v>114</v>
      </c>
      <c r="B48" s="36" t="s">
        <v>115</v>
      </c>
    </row>
    <row r="49" spans="1:2" ht="15" customHeight="1" x14ac:dyDescent="0.2">
      <c r="A49" s="41" t="s">
        <v>116</v>
      </c>
      <c r="B49" s="42">
        <v>28000</v>
      </c>
    </row>
    <row r="50" spans="1:2" ht="15" customHeight="1" x14ac:dyDescent="0.2">
      <c r="A50" s="41" t="s">
        <v>117</v>
      </c>
      <c r="B50" s="43">
        <v>0.15</v>
      </c>
    </row>
    <row r="51" spans="1:2" ht="15" customHeight="1" x14ac:dyDescent="0.2">
      <c r="A51" s="41" t="s">
        <v>118</v>
      </c>
      <c r="B51" s="43">
        <v>0.1</v>
      </c>
    </row>
    <row r="52" spans="1:2" ht="15" customHeight="1" x14ac:dyDescent="0.2">
      <c r="A52" s="41" t="s">
        <v>119</v>
      </c>
      <c r="B52" s="42">
        <v>2500000</v>
      </c>
    </row>
    <row r="54" spans="1:2" ht="15" customHeight="1" x14ac:dyDescent="0.2">
      <c r="A54" s="7" t="s">
        <v>120</v>
      </c>
      <c r="B54" s="7"/>
    </row>
    <row r="55" spans="1:2" ht="15" customHeight="1" x14ac:dyDescent="0.2">
      <c r="A55" s="36" t="s">
        <v>114</v>
      </c>
      <c r="B55" s="36" t="s">
        <v>115</v>
      </c>
    </row>
    <row r="56" spans="1:2" ht="15" customHeight="1" x14ac:dyDescent="0.2">
      <c r="A56" s="37" t="s">
        <v>121</v>
      </c>
      <c r="B56" s="38">
        <v>4200</v>
      </c>
    </row>
    <row r="57" spans="1:2" ht="15" customHeight="1" x14ac:dyDescent="0.2">
      <c r="A57" s="37" t="s">
        <v>122</v>
      </c>
      <c r="B57" s="40">
        <v>0.4</v>
      </c>
    </row>
    <row r="58" spans="1:2" ht="15" customHeight="1" x14ac:dyDescent="0.2">
      <c r="A58" s="37" t="s">
        <v>123</v>
      </c>
      <c r="B58" s="40">
        <v>0.5</v>
      </c>
    </row>
    <row r="59" spans="1:2" ht="15" customHeight="1" x14ac:dyDescent="0.2">
      <c r="A59" s="37" t="s">
        <v>124</v>
      </c>
      <c r="B59" s="40">
        <v>0.45</v>
      </c>
    </row>
    <row r="62" spans="1:2" ht="15" customHeight="1" x14ac:dyDescent="0.2">
      <c r="A62" s="44" t="s">
        <v>125</v>
      </c>
    </row>
    <row r="63" spans="1:2" ht="15" customHeight="1" x14ac:dyDescent="0.2">
      <c r="A63" s="44" t="s">
        <v>126</v>
      </c>
    </row>
  </sheetData>
  <mergeCells count="8">
    <mergeCell ref="A41:B41"/>
    <mergeCell ref="A47:B47"/>
    <mergeCell ref="A54:B54"/>
    <mergeCell ref="A2:B2"/>
    <mergeCell ref="A11:B11"/>
    <mergeCell ref="A17:B17"/>
    <mergeCell ref="A26:B26"/>
    <mergeCell ref="A32:B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Модель ROI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Гришаев Евгений Валерьевич</cp:lastModifiedBy>
  <cp:revision>0</cp:revision>
  <dcterms:created xsi:type="dcterms:W3CDTF">2026-04-14T16:20:54Z</dcterms:created>
  <dcterms:modified xsi:type="dcterms:W3CDTF">2026-05-14T13:32:13Z</dcterms:modified>
  <dc:language>en-US</dc:language>
</cp:coreProperties>
</file>