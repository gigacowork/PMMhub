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Giga\05. Value Management\Калькулятор выгод GigaChat\"/>
    </mc:Choice>
  </mc:AlternateContent>
  <xr:revisionPtr revIDLastSave="0" documentId="13_ncr:1_{8FCD2B47-913D-411E-B171-59BE73BDAEC0}" xr6:coauthVersionLast="47" xr6:coauthVersionMax="47" xr10:uidLastSave="{00000000-0000-0000-0000-000000000000}"/>
  <bookViews>
    <workbookView xWindow="-120" yWindow="-120" windowWidth="38640" windowHeight="21120" tabRatio="1000" activeTab="5" xr2:uid="{00000000-000D-0000-FFFF-FFFF00000000}"/>
  </bookViews>
  <sheets>
    <sheet name="Методология" sheetId="1" r:id="rId1"/>
    <sheet name="Финансы и Стандарты" sheetId="2" r:id="rId2"/>
    <sheet name="Затраты" sheetId="3" r:id="rId3"/>
    <sheet name="Общая продуктивность" sheetId="4" r:id="rId4"/>
    <sheet name="ИИ Юрист" sheetId="5" r:id="rId5"/>
    <sheet name="RO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  <c r="D14" i="6" s="1"/>
  <c r="D24" i="6" s="1"/>
  <c r="C11" i="6"/>
  <c r="C14" i="6" s="1"/>
  <c r="C24" i="6" s="1"/>
  <c r="B20" i="4"/>
  <c r="B11" i="6"/>
  <c r="B14" i="6" s="1"/>
  <c r="B27" i="5"/>
  <c r="F18" i="6"/>
  <c r="E18" i="6"/>
  <c r="D18" i="6"/>
  <c r="C18" i="6"/>
  <c r="B18" i="6"/>
  <c r="F14" i="6"/>
  <c r="F24" i="6" s="1"/>
  <c r="E14" i="6"/>
  <c r="E24" i="6" s="1"/>
  <c r="G13" i="6"/>
  <c r="G12" i="6"/>
  <c r="B31" i="5"/>
  <c r="B20" i="5"/>
  <c r="B21" i="5" s="1"/>
  <c r="B16" i="5"/>
  <c r="B32" i="5" s="1"/>
  <c r="F8" i="6" s="1"/>
  <c r="B10" i="5"/>
  <c r="B9" i="5"/>
  <c r="B5" i="4"/>
  <c r="B21" i="4" l="1"/>
  <c r="B16" i="4"/>
  <c r="B10" i="4"/>
  <c r="B11" i="4" s="1"/>
  <c r="C8" i="6"/>
  <c r="G14" i="6"/>
  <c r="B24" i="6"/>
  <c r="G11" i="6"/>
  <c r="B22" i="4" l="1"/>
  <c r="F4" i="6" s="1"/>
  <c r="D8" i="6"/>
  <c r="B8" i="6"/>
  <c r="E8" i="6"/>
  <c r="E4" i="6" l="1"/>
  <c r="B4" i="6"/>
  <c r="C4" i="6"/>
  <c r="C9" i="6" s="1"/>
  <c r="D4" i="6"/>
  <c r="G8" i="6"/>
  <c r="E9" i="6"/>
  <c r="E23" i="6" s="1"/>
  <c r="D9" i="6"/>
  <c r="D15" i="6" s="1"/>
  <c r="F9" i="6"/>
  <c r="F15" i="6" s="1"/>
  <c r="B9" i="6"/>
  <c r="B15" i="6" s="1"/>
  <c r="G4" i="6"/>
  <c r="C15" i="6"/>
  <c r="C23" i="6"/>
  <c r="C19" i="6" l="1"/>
  <c r="C16" i="6"/>
  <c r="C17" i="6" s="1"/>
  <c r="B19" i="6"/>
  <c r="B16" i="6"/>
  <c r="D19" i="6"/>
  <c r="D16" i="6"/>
  <c r="D17" i="6" s="1"/>
  <c r="D25" i="6" s="1"/>
  <c r="F19" i="6"/>
  <c r="F16" i="6"/>
  <c r="F17" i="6" s="1"/>
  <c r="F23" i="6"/>
  <c r="D23" i="6"/>
  <c r="E15" i="6"/>
  <c r="G9" i="6"/>
  <c r="B23" i="6"/>
  <c r="C25" i="6" l="1"/>
  <c r="F25" i="6"/>
  <c r="E19" i="6"/>
  <c r="E16" i="6"/>
  <c r="G16" i="6" s="1"/>
  <c r="B20" i="6" s="1"/>
  <c r="G15" i="6"/>
  <c r="E17" i="6" l="1"/>
  <c r="E25" i="6"/>
  <c r="B17" i="6"/>
  <c r="G17" i="6" l="1"/>
  <c r="G19" i="6" l="1"/>
  <c r="B25" i="6"/>
</calcChain>
</file>

<file path=xl/sharedStrings.xml><?xml version="1.0" encoding="utf-8"?>
<sst xmlns="http://schemas.openxmlformats.org/spreadsheetml/2006/main" count="113" uniqueCount="82">
  <si>
    <t>Параметр</t>
  </si>
  <si>
    <t>Значение</t>
  </si>
  <si>
    <t>Комментарий</t>
  </si>
  <si>
    <t>Ставка дисконтирования</t>
  </si>
  <si>
    <t>Налог</t>
  </si>
  <si>
    <t>Нагрузка на ФОТ</t>
  </si>
  <si>
    <t>Годовой объем контрактуемой выручки</t>
  </si>
  <si>
    <t>Модель размещения (продукт)</t>
  </si>
  <si>
    <t>Цена за входящие токены</t>
  </si>
  <si>
    <t>Цена за генерацию</t>
  </si>
  <si>
    <t>Стоимость сервера</t>
  </si>
  <si>
    <t>Зарплата DevOps/Admin на поддержку</t>
  </si>
  <si>
    <t>Общая продуктивность</t>
  </si>
  <si>
    <t>Наименование департамента</t>
  </si>
  <si>
    <t>Все</t>
  </si>
  <si>
    <t>Роли</t>
  </si>
  <si>
    <t>Текущий штат без ИИ департаментов</t>
  </si>
  <si>
    <t>Текущий штат</t>
  </si>
  <si>
    <t>Ненайм</t>
  </si>
  <si>
    <t>Средняя зарплата (gross)</t>
  </si>
  <si>
    <t>На сколько планировали вырасти без ИИ</t>
  </si>
  <si>
    <t>Выгоды от ненайма (не считается в формуле):</t>
  </si>
  <si>
    <t>Онбординг</t>
  </si>
  <si>
    <t>Текучесть кадров</t>
  </si>
  <si>
    <t>Срок адаптации</t>
  </si>
  <si>
    <t>% ускорения</t>
  </si>
  <si>
    <t>Выгоды от ускорения онбординга:</t>
  </si>
  <si>
    <t>Ускорение выполнения задач</t>
  </si>
  <si>
    <t>Какую часть рабочего дня можно ускорить</t>
  </si>
  <si>
    <t>Итого ускорение (в FTE)</t>
  </si>
  <si>
    <t>Выгоды от ускорения выполнения задач:</t>
  </si>
  <si>
    <t>Общий итог:</t>
  </si>
  <si>
    <t>ИИ Юрист</t>
  </si>
  <si>
    <t>Юридический</t>
  </si>
  <si>
    <t>Юрист</t>
  </si>
  <si>
    <t>Ожидаемое ускорение на этих задачах</t>
  </si>
  <si>
    <t>Влияние на скорость сделок</t>
  </si>
  <si>
    <t>Текущий цикл согласования (SLA) (дни)</t>
  </si>
  <si>
    <t>Ожидаемое ускорение цикла с ИИ</t>
  </si>
  <si>
    <t>Коэфф. конверсии скорости в выручку</t>
  </si>
  <si>
    <t>Влияние на драйвер</t>
  </si>
  <si>
    <t>Влияние на скорость сделок:</t>
  </si>
  <si>
    <t>Снижение Рисков</t>
  </si>
  <si>
    <t>Среднегодовой объем штрафов/исков</t>
  </si>
  <si>
    <t>Снижение пропущенных рисков</t>
  </si>
  <si>
    <t>Снижение юридических рисков:</t>
  </si>
  <si>
    <t>Год 1</t>
  </si>
  <si>
    <t>Год 2</t>
  </si>
  <si>
    <t>Год 3</t>
  </si>
  <si>
    <t>Год 4</t>
  </si>
  <si>
    <t>Год 5</t>
  </si>
  <si>
    <t>Выгоды Общая продуктивность</t>
  </si>
  <si>
    <t>Итого выгоды</t>
  </si>
  <si>
    <t>Внедрение</t>
  </si>
  <si>
    <t>Поддержка</t>
  </si>
  <si>
    <t>Общие затраты</t>
  </si>
  <si>
    <t>После налога</t>
  </si>
  <si>
    <t>Дисконтирование</t>
  </si>
  <si>
    <t>NPV (чистая приведенная прибыль)</t>
  </si>
  <si>
    <t>ROI</t>
  </si>
  <si>
    <t>Выгоды</t>
  </si>
  <si>
    <t>NPV</t>
  </si>
  <si>
    <r>
      <t xml:space="preserve">Основание и Стандарты
</t>
    </r>
    <r>
      <rPr>
        <sz val="11"/>
        <color theme="1"/>
        <rFont val="Arial"/>
      </rPr>
      <t>Данная модель разработана на основе «Методологии оценки финансовой эффективности от ИИ/ГенИИ», утвержденной Альянсом в сфере ИИ и Ассоциацией ФинТех (АФТ).
Модель адаптирована под специфику Generative AI, учитывая вероятностный характер генерации, необходимость проверки (Human-in-the-loop) и нелинейное влияние на бизнес-метрики.</t>
    </r>
    <r>
      <rPr>
        <b/>
        <sz val="11"/>
        <color theme="1"/>
        <rFont val="Arial"/>
      </rPr>
      <t xml:space="preserve">
Ключевые принципы расчета
</t>
    </r>
    <r>
      <rPr>
        <sz val="11"/>
        <color theme="1"/>
        <rFont val="Arial"/>
        <family val="2"/>
        <charset val="204"/>
      </rPr>
      <t>- Принцип консерватизма: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В расчетах используется разделение на прямую экономию бюджета, ненайм и рост потенциала.</t>
    </r>
    <r>
      <rPr>
        <b/>
        <sz val="11"/>
        <color theme="1"/>
        <rFont val="Arial"/>
      </rPr>
      <t xml:space="preserve">
Защита от двойного счета:
</t>
    </r>
    <r>
      <rPr>
        <sz val="11"/>
        <color theme="1"/>
        <rFont val="Arial"/>
      </rPr>
      <t>- Реализована сегрегация штата: сотрудники, учтенные в профильных департаментах (Юристы, IT), автоматически исключаются из расчета общей продуктивности.
- Эффекты "Ускорения работы" и "Ненайма" не суммируются, а вкладываются друг в друга.</t>
    </r>
    <r>
      <rPr>
        <b/>
        <sz val="11"/>
        <color theme="1"/>
        <rFont val="Arial"/>
      </rPr>
      <t xml:space="preserve">
Чистый экономический эффект:
</t>
    </r>
    <r>
      <rPr>
        <sz val="11"/>
        <color theme="1"/>
        <rFont val="Arial"/>
      </rPr>
      <t>- Учитываются не только лицензии (GigaB2B), но и стоимость инфраструктуры, внедрения и налоговые отчисления.
- Расчет ведется с учетом Ставки дисконтирования, приводящей будущие потоки к стоимости денег во времени.</t>
    </r>
  </si>
  <si>
    <t>Методология расчета экономической эффективности внедрения GenAI</t>
  </si>
  <si>
    <t>Ежегодный платеж</t>
  </si>
  <si>
    <t>Стоимость GigaChat</t>
  </si>
  <si>
    <t>Ставка налога на прибыль. Под вопросом. Можно не учитывать</t>
  </si>
  <si>
    <t>(НДФЛ + Соцвзносы + ДМС + Офис). Обычно 1.3 - 1.4
Должно привязываться к ставке в час</t>
  </si>
  <si>
    <t>На сколько планировали вырасти без ИИ FTE</t>
  </si>
  <si>
    <t>Оптимизация штата (ненайм)</t>
  </si>
  <si>
    <t>Ускорение онбординга сотрудников</t>
  </si>
  <si>
    <t>Срок адаптации, мес</t>
  </si>
  <si>
    <t>Проникнование GenAI (использование сотрудниками в рутинных задачах)</t>
  </si>
  <si>
    <t>Выгоды от ускорения выполнения задач. годовай:</t>
  </si>
  <si>
    <t>Масштабирование использования</t>
  </si>
  <si>
    <t>Операц. Доход</t>
  </si>
  <si>
    <t>TOTAL</t>
  </si>
  <si>
    <t>Доходная часть</t>
  </si>
  <si>
    <t xml:space="preserve">8 типовых </t>
  </si>
  <si>
    <t>DAU клиента</t>
  </si>
  <si>
    <t>Количество параллельны запросов</t>
  </si>
  <si>
    <t>Количество серверов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</si>
</sst>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[$ ₽]"/>
    <numFmt numFmtId="165" formatCode="0.0%"/>
    <numFmt numFmtId="166" formatCode="_-* #,##0_-;\-* #,##0_-;_-* &quot;-&quot;??_-;_-@_-"/>
  </numFmts>
  <fonts count="2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i/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i/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0"/>
      <color rgb="FF000000"/>
      <name val="Arial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4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i/>
      <sz val="10"/>
      <color theme="1"/>
      <name val="Arial"/>
      <family val="2"/>
      <charset val="204"/>
      <scheme val="minor"/>
    </font>
    <font>
      <b/>
      <i/>
      <sz val="10"/>
      <color theme="1"/>
      <name val="Arial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9" fontId="3" fillId="0" borderId="1" xfId="0" applyNumberFormat="1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9" fontId="3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left"/>
    </xf>
    <xf numFmtId="165" fontId="3" fillId="0" borderId="1" xfId="0" applyNumberFormat="1" applyFont="1" applyBorder="1"/>
    <xf numFmtId="0" fontId="7" fillId="2" borderId="1" xfId="0" applyFont="1" applyFill="1" applyBorder="1"/>
    <xf numFmtId="0" fontId="8" fillId="0" borderId="1" xfId="0" applyFont="1" applyBorder="1"/>
    <xf numFmtId="9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" fontId="3" fillId="0" borderId="1" xfId="0" applyNumberFormat="1" applyFont="1" applyBorder="1"/>
    <xf numFmtId="0" fontId="14" fillId="0" borderId="0" xfId="0" applyFont="1" applyAlignment="1">
      <alignment wrapText="1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1" xfId="0" applyFont="1" applyBorder="1"/>
    <xf numFmtId="0" fontId="2" fillId="0" borderId="6" xfId="0" applyFont="1" applyBorder="1" applyAlignment="1">
      <alignment horizontal="center"/>
    </xf>
    <xf numFmtId="0" fontId="0" fillId="0" borderId="5" xfId="0" applyBorder="1"/>
    <xf numFmtId="0" fontId="15" fillId="0" borderId="5" xfId="0" applyFont="1" applyBorder="1"/>
    <xf numFmtId="0" fontId="18" fillId="0" borderId="0" xfId="0" applyFont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5" xfId="0" applyFont="1" applyBorder="1"/>
    <xf numFmtId="0" fontId="2" fillId="0" borderId="7" xfId="0" applyFont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right"/>
    </xf>
    <xf numFmtId="164" fontId="22" fillId="0" borderId="1" xfId="0" applyNumberFormat="1" applyFont="1" applyBorder="1" applyAlignment="1">
      <alignment horizontal="center"/>
    </xf>
    <xf numFmtId="0" fontId="23" fillId="0" borderId="1" xfId="0" applyFont="1" applyBorder="1"/>
    <xf numFmtId="0" fontId="17" fillId="0" borderId="5" xfId="0" applyFont="1" applyBorder="1"/>
    <xf numFmtId="164" fontId="22" fillId="0" borderId="2" xfId="0" applyNumberFormat="1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9" fontId="0" fillId="0" borderId="0" xfId="0" applyNumberFormat="1"/>
    <xf numFmtId="0" fontId="19" fillId="0" borderId="1" xfId="0" applyFont="1" applyBorder="1"/>
    <xf numFmtId="164" fontId="24" fillId="0" borderId="1" xfId="0" applyNumberFormat="1" applyFont="1" applyBorder="1"/>
    <xf numFmtId="0" fontId="18" fillId="0" borderId="0" xfId="0" applyFont="1"/>
    <xf numFmtId="0" fontId="19" fillId="0" borderId="1" xfId="0" applyFont="1" applyBorder="1" applyAlignment="1">
      <alignment horizontal="right"/>
    </xf>
    <xf numFmtId="166" fontId="3" fillId="0" borderId="2" xfId="1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3" fillId="0" borderId="6" xfId="0" applyFont="1" applyBorder="1"/>
    <xf numFmtId="0" fontId="0" fillId="0" borderId="11" xfId="0" applyBorder="1"/>
    <xf numFmtId="166" fontId="3" fillId="3" borderId="2" xfId="1" applyNumberFormat="1" applyFont="1" applyFill="1" applyBorder="1" applyAlignment="1">
      <alignment horizontal="right"/>
    </xf>
    <xf numFmtId="164" fontId="3" fillId="3" borderId="2" xfId="0" applyNumberFormat="1" applyFont="1" applyFill="1" applyBorder="1" applyAlignment="1">
      <alignment horizontal="right"/>
    </xf>
    <xf numFmtId="9" fontId="3" fillId="3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164" fontId="3" fillId="3" borderId="2" xfId="0" applyNumberFormat="1" applyFont="1" applyFill="1" applyBorder="1" applyAlignment="1">
      <alignment horizontal="center"/>
    </xf>
    <xf numFmtId="0" fontId="3" fillId="3" borderId="10" xfId="0" applyFont="1" applyFill="1" applyBorder="1"/>
    <xf numFmtId="0" fontId="0" fillId="3" borderId="5" xfId="0" applyFill="1" applyBorder="1"/>
    <xf numFmtId="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/>
    <xf numFmtId="0" fontId="0" fillId="0" borderId="0" xfId="0"/>
    <xf numFmtId="10" fontId="9" fillId="0" borderId="2" xfId="0" applyNumberFormat="1" applyFont="1" applyBorder="1" applyAlignment="1">
      <alignment horizontal="left"/>
    </xf>
    <xf numFmtId="0" fontId="4" fillId="0" borderId="4" xfId="0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ru-RU" b="0">
                <a:solidFill>
                  <a:srgbClr val="757575"/>
                </a:solidFill>
                <a:latin typeface="+mn-lt"/>
              </a:rPr>
              <a:t>Выгоды, Общие затраты </a:t>
            </a:r>
            <a:r>
              <a:rPr lang="en-US" b="0">
                <a:solidFill>
                  <a:srgbClr val="757575"/>
                </a:solidFill>
                <a:latin typeface="+mn-lt"/>
              </a:rPr>
              <a:t>and NPV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ROI!$A$23</c:f>
              <c:strCache>
                <c:ptCount val="1"/>
                <c:pt idx="0">
                  <c:v>Выгоды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ROI!$B$22:$F$22</c:f>
              <c:strCache>
                <c:ptCount val="5"/>
                <c:pt idx="0">
                  <c:v>Год 1</c:v>
                </c:pt>
                <c:pt idx="1">
                  <c:v>Год 2</c:v>
                </c:pt>
                <c:pt idx="2">
                  <c:v>Год 3</c:v>
                </c:pt>
                <c:pt idx="3">
                  <c:v>Год 4</c:v>
                </c:pt>
                <c:pt idx="4">
                  <c:v>Год 5</c:v>
                </c:pt>
              </c:strCache>
            </c:strRef>
          </c:cat>
          <c:val>
            <c:numRef>
              <c:f>ROI!$B$23:$F$23</c:f>
              <c:numCache>
                <c:formatCode>#\ ##0[$ ₽]</c:formatCode>
                <c:ptCount val="5"/>
                <c:pt idx="0">
                  <c:v>66801299.999999985</c:v>
                </c:pt>
                <c:pt idx="1">
                  <c:v>111335499.99999999</c:v>
                </c:pt>
                <c:pt idx="2">
                  <c:v>178136800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16-4D21-9626-005B6C912B36}"/>
            </c:ext>
          </c:extLst>
        </c:ser>
        <c:ser>
          <c:idx val="1"/>
          <c:order val="1"/>
          <c:tx>
            <c:strRef>
              <c:f>ROI!$A$24</c:f>
              <c:strCache>
                <c:ptCount val="1"/>
                <c:pt idx="0">
                  <c:v>Общие затраты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cat>
            <c:strRef>
              <c:f>ROI!$B$22:$F$22</c:f>
              <c:strCache>
                <c:ptCount val="5"/>
                <c:pt idx="0">
                  <c:v>Год 1</c:v>
                </c:pt>
                <c:pt idx="1">
                  <c:v>Год 2</c:v>
                </c:pt>
                <c:pt idx="2">
                  <c:v>Год 3</c:v>
                </c:pt>
                <c:pt idx="3">
                  <c:v>Год 4</c:v>
                </c:pt>
                <c:pt idx="4">
                  <c:v>Год 5</c:v>
                </c:pt>
              </c:strCache>
            </c:strRef>
          </c:cat>
          <c:val>
            <c:numRef>
              <c:f>ROI!$B$24:$F$24</c:f>
              <c:numCache>
                <c:formatCode>#\ ##0[$ ₽]</c:formatCode>
                <c:ptCount val="5"/>
                <c:pt idx="0">
                  <c:v>-10000000</c:v>
                </c:pt>
                <c:pt idx="1">
                  <c:v>-8000000</c:v>
                </c:pt>
                <c:pt idx="2">
                  <c:v>-8000000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316-4D21-9626-005B6C912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6292717"/>
        <c:axId val="280043027"/>
      </c:barChart>
      <c:lineChart>
        <c:grouping val="standard"/>
        <c:varyColors val="0"/>
        <c:ser>
          <c:idx val="2"/>
          <c:order val="2"/>
          <c:tx>
            <c:strRef>
              <c:f>ROI!$A$25</c:f>
              <c:strCache>
                <c:ptCount val="1"/>
                <c:pt idx="0">
                  <c:v>NPV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ROI!$B$22:$F$22</c:f>
              <c:strCache>
                <c:ptCount val="5"/>
                <c:pt idx="0">
                  <c:v>Год 1</c:v>
                </c:pt>
                <c:pt idx="1">
                  <c:v>Год 2</c:v>
                </c:pt>
                <c:pt idx="2">
                  <c:v>Год 3</c:v>
                </c:pt>
                <c:pt idx="3">
                  <c:v>Год 4</c:v>
                </c:pt>
                <c:pt idx="4">
                  <c:v>Год 5</c:v>
                </c:pt>
              </c:strCache>
            </c:strRef>
          </c:cat>
          <c:val>
            <c:numRef>
              <c:f>ROI!$B$25:$F$25</c:f>
              <c:numCache>
                <c:formatCode>#\ ##0[$ ₽]</c:formatCode>
                <c:ptCount val="5"/>
                <c:pt idx="0">
                  <c:v>48136694.915254228</c:v>
                </c:pt>
                <c:pt idx="1">
                  <c:v>74213947.141625971</c:v>
                </c:pt>
                <c:pt idx="2">
                  <c:v>103550509.05886191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16-4D21-9626-005B6C912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292717"/>
        <c:axId val="280043027"/>
      </c:lineChart>
      <c:catAx>
        <c:axId val="1076292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80043027"/>
        <c:crosses val="autoZero"/>
        <c:auto val="1"/>
        <c:lblAlgn val="ctr"/>
        <c:lblOffset val="100"/>
        <c:noMultiLvlLbl val="1"/>
      </c:catAx>
      <c:valAx>
        <c:axId val="280043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#\ ##0[$ ₽]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7629271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26</xdr:row>
      <xdr:rowOff>38100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6"/>
  <sheetViews>
    <sheetView workbookViewId="0">
      <selection activeCell="A2" sqref="A2"/>
    </sheetView>
  </sheetViews>
  <sheetFormatPr defaultColWidth="12.5703125" defaultRowHeight="15.75" customHeight="1" x14ac:dyDescent="0.2"/>
  <cols>
    <col min="1" max="1" width="127.140625" customWidth="1"/>
  </cols>
  <sheetData>
    <row r="1" spans="1:1" ht="30.6" customHeight="1" x14ac:dyDescent="0.2">
      <c r="A1" s="21" t="s">
        <v>63</v>
      </c>
    </row>
    <row r="2" spans="1:1" ht="249.75" x14ac:dyDescent="0.2">
      <c r="A2" s="19" t="s">
        <v>62</v>
      </c>
    </row>
    <row r="4" spans="1:1" ht="15.75" customHeight="1" x14ac:dyDescent="0.25">
      <c r="A4" s="1"/>
    </row>
    <row r="6" spans="1:1" ht="15.75" customHeight="1" x14ac:dyDescent="0.25">
      <c r="A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"/>
  <sheetViews>
    <sheetView workbookViewId="0">
      <selection activeCell="B2" sqref="B2:B5"/>
    </sheetView>
  </sheetViews>
  <sheetFormatPr defaultColWidth="12.5703125" defaultRowHeight="15.75" customHeight="1" x14ac:dyDescent="0.2"/>
  <cols>
    <col min="1" max="1" width="34.42578125" bestFit="1" customWidth="1"/>
    <col min="2" max="2" width="18.140625" customWidth="1"/>
    <col min="3" max="3" width="54.7109375" customWidth="1"/>
  </cols>
  <sheetData>
    <row r="1" spans="1:3" ht="12.75" x14ac:dyDescent="0.2">
      <c r="A1" s="2" t="s">
        <v>0</v>
      </c>
      <c r="B1" s="2" t="s">
        <v>1</v>
      </c>
      <c r="C1" s="2" t="s">
        <v>2</v>
      </c>
    </row>
    <row r="2" spans="1:3" ht="15.75" customHeight="1" x14ac:dyDescent="0.2">
      <c r="A2" s="3" t="s">
        <v>3</v>
      </c>
      <c r="B2" s="56">
        <v>0.18</v>
      </c>
      <c r="C2" s="3"/>
    </row>
    <row r="3" spans="1:3" ht="15.75" customHeight="1" x14ac:dyDescent="0.2">
      <c r="A3" s="3" t="s">
        <v>4</v>
      </c>
      <c r="B3" s="56">
        <v>0.25</v>
      </c>
      <c r="C3" s="22" t="s">
        <v>66</v>
      </c>
    </row>
    <row r="4" spans="1:3" ht="25.5" x14ac:dyDescent="0.2">
      <c r="A4" s="3" t="s">
        <v>5</v>
      </c>
      <c r="B4" s="57">
        <v>1.4</v>
      </c>
      <c r="C4" s="45" t="s">
        <v>67</v>
      </c>
    </row>
    <row r="5" spans="1:3" ht="15.75" customHeight="1" x14ac:dyDescent="0.2">
      <c r="A5" s="3" t="s">
        <v>6</v>
      </c>
      <c r="B5" s="58">
        <v>1000000000</v>
      </c>
      <c r="C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"/>
  <sheetViews>
    <sheetView workbookViewId="0">
      <selection activeCell="C18" sqref="C18"/>
    </sheetView>
  </sheetViews>
  <sheetFormatPr defaultColWidth="12.5703125" defaultRowHeight="15.75" customHeight="1" x14ac:dyDescent="0.2"/>
  <cols>
    <col min="1" max="1" width="33.5703125" customWidth="1"/>
    <col min="2" max="2" width="22.28515625" customWidth="1"/>
    <col min="3" max="3" width="18.42578125" customWidth="1"/>
  </cols>
  <sheetData>
    <row r="1" spans="1:3" ht="12.75" x14ac:dyDescent="0.2">
      <c r="A1" s="2" t="s">
        <v>0</v>
      </c>
      <c r="B1" s="2" t="s">
        <v>1</v>
      </c>
      <c r="C1" s="23" t="s">
        <v>2</v>
      </c>
    </row>
    <row r="2" spans="1:3" ht="15.75" customHeight="1" x14ac:dyDescent="0.2">
      <c r="A2" s="3" t="s">
        <v>7</v>
      </c>
      <c r="B2" s="51"/>
      <c r="C2" s="24"/>
    </row>
    <row r="3" spans="1:3" ht="15.75" customHeight="1" x14ac:dyDescent="0.2">
      <c r="A3" s="3" t="s">
        <v>8</v>
      </c>
      <c r="B3" s="52"/>
      <c r="C3" s="24"/>
    </row>
    <row r="4" spans="1:3" ht="15.75" customHeight="1" x14ac:dyDescent="0.2">
      <c r="A4" s="3" t="s">
        <v>9</v>
      </c>
      <c r="B4" s="52"/>
      <c r="C4" s="24"/>
    </row>
    <row r="5" spans="1:3" ht="15.75" customHeight="1" x14ac:dyDescent="0.2">
      <c r="A5" s="22" t="s">
        <v>10</v>
      </c>
      <c r="B5" s="53"/>
      <c r="C5" s="25" t="s">
        <v>64</v>
      </c>
    </row>
    <row r="6" spans="1:3" ht="15.75" customHeight="1" x14ac:dyDescent="0.2">
      <c r="A6" s="46" t="s">
        <v>11</v>
      </c>
      <c r="B6" s="54"/>
      <c r="C6" s="47"/>
    </row>
    <row r="7" spans="1:3" ht="15.75" customHeight="1" x14ac:dyDescent="0.2">
      <c r="A7" s="25" t="s">
        <v>79</v>
      </c>
      <c r="B7" s="55"/>
      <c r="C7" s="24"/>
    </row>
    <row r="8" spans="1:3" ht="15.75" customHeight="1" x14ac:dyDescent="0.2">
      <c r="A8" s="25" t="s">
        <v>80</v>
      </c>
      <c r="B8" s="55"/>
      <c r="C8" s="24"/>
    </row>
    <row r="9" spans="1:3" ht="15.75" customHeight="1" x14ac:dyDescent="0.2">
      <c r="A9" s="25" t="s">
        <v>81</v>
      </c>
      <c r="B9" s="55"/>
      <c r="C9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2"/>
  <sheetViews>
    <sheetView zoomScaleNormal="100" workbookViewId="0">
      <selection activeCell="B10" sqref="B10"/>
    </sheetView>
  </sheetViews>
  <sheetFormatPr defaultColWidth="12.5703125" defaultRowHeight="15.75" customHeight="1" x14ac:dyDescent="0.2"/>
  <cols>
    <col min="1" max="1" width="62.28515625" customWidth="1"/>
    <col min="2" max="2" width="16.28515625" customWidth="1"/>
    <col min="3" max="3" width="45.140625" customWidth="1"/>
  </cols>
  <sheetData>
    <row r="1" spans="1:3" ht="12.75" x14ac:dyDescent="0.2">
      <c r="A1" s="60" t="s">
        <v>12</v>
      </c>
      <c r="B1" s="60"/>
      <c r="C1" s="60"/>
    </row>
    <row r="2" spans="1:3" ht="12.75" x14ac:dyDescent="0.2">
      <c r="A2" s="29" t="s">
        <v>0</v>
      </c>
      <c r="B2" s="29" t="s">
        <v>1</v>
      </c>
      <c r="C2" s="26" t="s">
        <v>2</v>
      </c>
    </row>
    <row r="3" spans="1:3" ht="15.75" customHeight="1" x14ac:dyDescent="0.2">
      <c r="A3" s="3" t="s">
        <v>13</v>
      </c>
      <c r="B3" s="27" t="s">
        <v>14</v>
      </c>
      <c r="C3" s="24"/>
    </row>
    <row r="4" spans="1:3" ht="15.75" customHeight="1" x14ac:dyDescent="0.2">
      <c r="A4" s="3" t="s">
        <v>15</v>
      </c>
      <c r="B4" s="27" t="s">
        <v>14</v>
      </c>
      <c r="C4" s="24"/>
    </row>
    <row r="5" spans="1:3" ht="15.75" customHeight="1" x14ac:dyDescent="0.2">
      <c r="A5" s="3" t="s">
        <v>16</v>
      </c>
      <c r="B5" s="43">
        <f>B6-'ИИ Юрист'!B5</f>
        <v>2980</v>
      </c>
      <c r="C5" s="24"/>
    </row>
    <row r="6" spans="1:3" ht="15.75" customHeight="1" x14ac:dyDescent="0.2">
      <c r="A6" s="3" t="s">
        <v>17</v>
      </c>
      <c r="B6" s="48">
        <v>3000</v>
      </c>
      <c r="C6" s="25"/>
    </row>
    <row r="7" spans="1:3" ht="15.75" customHeight="1" x14ac:dyDescent="0.2">
      <c r="A7" s="61" t="s">
        <v>69</v>
      </c>
      <c r="B7" s="62"/>
      <c r="C7" s="63"/>
    </row>
    <row r="8" spans="1:3" ht="15.75" customHeight="1" x14ac:dyDescent="0.2">
      <c r="A8" s="22" t="s">
        <v>19</v>
      </c>
      <c r="B8" s="49">
        <v>100000</v>
      </c>
      <c r="C8" s="25"/>
    </row>
    <row r="9" spans="1:3" ht="15.75" customHeight="1" x14ac:dyDescent="0.2">
      <c r="A9" s="3" t="s">
        <v>20</v>
      </c>
      <c r="B9" s="50">
        <v>0.02</v>
      </c>
      <c r="C9" s="25"/>
    </row>
    <row r="10" spans="1:3" ht="15.75" customHeight="1" x14ac:dyDescent="0.2">
      <c r="A10" s="22" t="s">
        <v>68</v>
      </c>
      <c r="B10" s="27">
        <f>B5*B9</f>
        <v>59.6</v>
      </c>
      <c r="C10" s="24"/>
    </row>
    <row r="11" spans="1:3" ht="12.75" x14ac:dyDescent="0.2">
      <c r="A11" s="9" t="s">
        <v>21</v>
      </c>
      <c r="B11" s="36">
        <f>((B8*'Финансы и Стандарты'!B4)*B10)*12</f>
        <v>100128000</v>
      </c>
      <c r="C11" s="24"/>
    </row>
    <row r="12" spans="1:3" ht="15.75" customHeight="1" x14ac:dyDescent="0.2">
      <c r="A12" s="61" t="s">
        <v>70</v>
      </c>
      <c r="B12" s="62"/>
      <c r="C12" s="63"/>
    </row>
    <row r="13" spans="1:3" ht="15.75" customHeight="1" x14ac:dyDescent="0.2">
      <c r="A13" s="3" t="s">
        <v>23</v>
      </c>
      <c r="B13" s="50">
        <v>0.1</v>
      </c>
      <c r="C13" s="25"/>
    </row>
    <row r="14" spans="1:3" ht="15.75" customHeight="1" x14ac:dyDescent="0.2">
      <c r="A14" s="22" t="s">
        <v>71</v>
      </c>
      <c r="B14" s="59">
        <v>3</v>
      </c>
      <c r="C14" s="24"/>
    </row>
    <row r="15" spans="1:3" ht="15.75" customHeight="1" x14ac:dyDescent="0.2">
      <c r="A15" s="3" t="s">
        <v>25</v>
      </c>
      <c r="B15" s="50">
        <v>0.1</v>
      </c>
      <c r="C15" s="25"/>
    </row>
    <row r="16" spans="1:3" ht="12.75" x14ac:dyDescent="0.2">
      <c r="A16" s="9" t="s">
        <v>26</v>
      </c>
      <c r="B16" s="36">
        <f>((B5*B13)*(B14*B8))*B15</f>
        <v>8940000</v>
      </c>
      <c r="C16" s="24"/>
    </row>
    <row r="17" spans="1:3" ht="15.75" customHeight="1" x14ac:dyDescent="0.2">
      <c r="A17" s="64" t="s">
        <v>27</v>
      </c>
      <c r="B17" s="62"/>
      <c r="C17" s="63"/>
    </row>
    <row r="18" spans="1:3" ht="15.75" customHeight="1" x14ac:dyDescent="0.2">
      <c r="A18" s="3" t="s">
        <v>28</v>
      </c>
      <c r="B18" s="50">
        <v>0.2</v>
      </c>
      <c r="C18" s="35"/>
    </row>
    <row r="19" spans="1:3" ht="15.75" customHeight="1" x14ac:dyDescent="0.2">
      <c r="A19" s="22" t="s">
        <v>72</v>
      </c>
      <c r="B19" s="50">
        <v>0.2</v>
      </c>
      <c r="C19" s="28"/>
    </row>
    <row r="20" spans="1:3" ht="15.75" customHeight="1" x14ac:dyDescent="0.2">
      <c r="A20" s="3" t="s">
        <v>29</v>
      </c>
      <c r="B20" s="44">
        <f>B5*B19*B18</f>
        <v>119.2</v>
      </c>
      <c r="C20" s="24"/>
    </row>
    <row r="21" spans="1:3" ht="12.75" x14ac:dyDescent="0.2">
      <c r="A21" s="37" t="s">
        <v>73</v>
      </c>
      <c r="B21" s="36">
        <f>(B20*B8*'Финансы и Стандарты'!B4)*12</f>
        <v>200255999.99999997</v>
      </c>
      <c r="C21" s="24"/>
    </row>
    <row r="22" spans="1:3" ht="12.75" x14ac:dyDescent="0.2">
      <c r="A22" s="11" t="s">
        <v>31</v>
      </c>
      <c r="B22" s="12">
        <f>B16+B21</f>
        <v>209195999.99999997</v>
      </c>
    </row>
  </sheetData>
  <mergeCells count="4">
    <mergeCell ref="A1:C1"/>
    <mergeCell ref="A7:C7"/>
    <mergeCell ref="A12:C12"/>
    <mergeCell ref="A17:C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37"/>
  <sheetViews>
    <sheetView zoomScaleNormal="100" workbookViewId="0">
      <selection activeCell="B32" sqref="B32"/>
    </sheetView>
  </sheetViews>
  <sheetFormatPr defaultColWidth="12.5703125" defaultRowHeight="15.75" customHeight="1" x14ac:dyDescent="0.2"/>
  <cols>
    <col min="1" max="1" width="47.140625" customWidth="1"/>
    <col min="2" max="2" width="22.42578125" customWidth="1"/>
  </cols>
  <sheetData>
    <row r="1" spans="1:2" ht="12.75" x14ac:dyDescent="0.2">
      <c r="A1" s="62" t="s">
        <v>32</v>
      </c>
      <c r="B1" s="67"/>
    </row>
    <row r="2" spans="1:2" ht="12.75" x14ac:dyDescent="0.2">
      <c r="A2" s="2" t="s">
        <v>0</v>
      </c>
      <c r="B2" s="2" t="s">
        <v>1</v>
      </c>
    </row>
    <row r="3" spans="1:2" ht="15.75" customHeight="1" x14ac:dyDescent="0.2">
      <c r="A3" s="3" t="s">
        <v>13</v>
      </c>
      <c r="B3" s="6" t="s">
        <v>33</v>
      </c>
    </row>
    <row r="4" spans="1:2" ht="15.75" customHeight="1" x14ac:dyDescent="0.2">
      <c r="A4" s="3" t="s">
        <v>15</v>
      </c>
      <c r="B4" s="6" t="s">
        <v>34</v>
      </c>
    </row>
    <row r="5" spans="1:2" ht="15.75" customHeight="1" x14ac:dyDescent="0.2">
      <c r="A5" s="22" t="s">
        <v>17</v>
      </c>
      <c r="B5" s="6">
        <v>20</v>
      </c>
    </row>
    <row r="6" spans="1:2" ht="12.75" x14ac:dyDescent="0.2">
      <c r="A6" s="65" t="s">
        <v>18</v>
      </c>
      <c r="B6" s="66"/>
    </row>
    <row r="7" spans="1:2" ht="15.75" customHeight="1" x14ac:dyDescent="0.2">
      <c r="A7" s="3" t="s">
        <v>19</v>
      </c>
      <c r="B7" s="7">
        <v>100000</v>
      </c>
    </row>
    <row r="8" spans="1:2" ht="15.75" customHeight="1" x14ac:dyDescent="0.2">
      <c r="A8" s="3" t="s">
        <v>20</v>
      </c>
      <c r="B8" s="8">
        <v>0.1</v>
      </c>
    </row>
    <row r="9" spans="1:2" ht="15.75" customHeight="1" x14ac:dyDescent="0.2">
      <c r="A9" s="3" t="s">
        <v>20</v>
      </c>
      <c r="B9" s="6">
        <f>B5*B8</f>
        <v>2</v>
      </c>
    </row>
    <row r="10" spans="1:2" ht="12.75" x14ac:dyDescent="0.2">
      <c r="A10" s="9" t="s">
        <v>21</v>
      </c>
      <c r="B10" s="10">
        <f>((B7*'Финансы и Стандарты'!B4)*B9)*12</f>
        <v>3360000</v>
      </c>
    </row>
    <row r="11" spans="1:2" ht="15.75" customHeight="1" x14ac:dyDescent="0.2">
      <c r="A11" s="3"/>
      <c r="B11" s="6"/>
    </row>
    <row r="12" spans="1:2" ht="12.75" x14ac:dyDescent="0.2">
      <c r="A12" s="65" t="s">
        <v>22</v>
      </c>
      <c r="B12" s="66"/>
    </row>
    <row r="13" spans="1:2" ht="15.75" customHeight="1" x14ac:dyDescent="0.2">
      <c r="A13" s="3" t="s">
        <v>23</v>
      </c>
      <c r="B13" s="8">
        <v>0.1</v>
      </c>
    </row>
    <row r="14" spans="1:2" ht="15.75" customHeight="1" x14ac:dyDescent="0.2">
      <c r="A14" s="3" t="s">
        <v>24</v>
      </c>
      <c r="B14" s="6">
        <v>6</v>
      </c>
    </row>
    <row r="15" spans="1:2" ht="15.75" customHeight="1" x14ac:dyDescent="0.2">
      <c r="A15" s="3" t="s">
        <v>25</v>
      </c>
      <c r="B15" s="8">
        <v>0.2</v>
      </c>
    </row>
    <row r="16" spans="1:2" ht="12.75" x14ac:dyDescent="0.2">
      <c r="A16" s="9" t="s">
        <v>26</v>
      </c>
      <c r="B16" s="10">
        <f>((B5*B13)*(B14*B7))*B15</f>
        <v>240000</v>
      </c>
    </row>
    <row r="17" spans="1:2" ht="12.75" x14ac:dyDescent="0.2">
      <c r="A17" s="65" t="s">
        <v>27</v>
      </c>
      <c r="B17" s="66"/>
    </row>
    <row r="18" spans="1:2" ht="15.75" customHeight="1" x14ac:dyDescent="0.2">
      <c r="A18" s="3" t="s">
        <v>28</v>
      </c>
      <c r="B18" s="8">
        <v>0.5</v>
      </c>
    </row>
    <row r="19" spans="1:2" ht="15.75" customHeight="1" x14ac:dyDescent="0.2">
      <c r="A19" s="3" t="s">
        <v>35</v>
      </c>
      <c r="B19" s="8">
        <v>0.7</v>
      </c>
    </row>
    <row r="20" spans="1:2" ht="15.75" customHeight="1" x14ac:dyDescent="0.2">
      <c r="A20" s="3" t="s">
        <v>29</v>
      </c>
      <c r="B20" s="6">
        <f>B5*B19*B18</f>
        <v>7</v>
      </c>
    </row>
    <row r="21" spans="1:2" ht="12.75" x14ac:dyDescent="0.2">
      <c r="A21" s="9" t="s">
        <v>30</v>
      </c>
      <c r="B21" s="10">
        <f>(B20*B7*'Финансы и Стандарты'!B4)*12</f>
        <v>11759999.999999998</v>
      </c>
    </row>
    <row r="22" spans="1:2" ht="12.75" x14ac:dyDescent="0.2">
      <c r="A22" s="65" t="s">
        <v>36</v>
      </c>
      <c r="B22" s="66"/>
    </row>
    <row r="23" spans="1:2" ht="15.75" customHeight="1" x14ac:dyDescent="0.2">
      <c r="A23" s="3" t="s">
        <v>37</v>
      </c>
      <c r="B23" s="3">
        <v>10</v>
      </c>
    </row>
    <row r="24" spans="1:2" ht="12.75" x14ac:dyDescent="0.2">
      <c r="A24" s="3" t="s">
        <v>38</v>
      </c>
      <c r="B24" s="4">
        <v>0.3</v>
      </c>
    </row>
    <row r="25" spans="1:2" ht="12.75" x14ac:dyDescent="0.2">
      <c r="A25" s="3" t="s">
        <v>39</v>
      </c>
      <c r="B25" s="13">
        <v>5.0000000000000001E-3</v>
      </c>
    </row>
    <row r="26" spans="1:2" ht="12.75" x14ac:dyDescent="0.2">
      <c r="A26" s="3" t="s">
        <v>40</v>
      </c>
      <c r="B26" s="4">
        <v>0.15</v>
      </c>
    </row>
    <row r="27" spans="1:2" ht="12.75" x14ac:dyDescent="0.2">
      <c r="A27" s="9" t="s">
        <v>41</v>
      </c>
      <c r="B27" s="10">
        <f>('Финансы и Стандарты'!B5*B24*B25)*B26</f>
        <v>225000</v>
      </c>
    </row>
    <row r="28" spans="1:2" ht="12.75" x14ac:dyDescent="0.2">
      <c r="A28" s="65" t="s">
        <v>42</v>
      </c>
      <c r="B28" s="66"/>
    </row>
    <row r="29" spans="1:2" ht="12.75" x14ac:dyDescent="0.2">
      <c r="A29" s="3" t="s">
        <v>43</v>
      </c>
      <c r="B29" s="7">
        <v>5000000</v>
      </c>
    </row>
    <row r="30" spans="1:2" ht="12.75" x14ac:dyDescent="0.2">
      <c r="A30" s="3" t="s">
        <v>44</v>
      </c>
      <c r="B30" s="4">
        <v>0.25</v>
      </c>
    </row>
    <row r="31" spans="1:2" ht="12.75" x14ac:dyDescent="0.2">
      <c r="A31" s="9" t="s">
        <v>45</v>
      </c>
      <c r="B31" s="10">
        <f>B29*B30</f>
        <v>1250000</v>
      </c>
    </row>
    <row r="32" spans="1:2" ht="12.75" x14ac:dyDescent="0.2">
      <c r="A32" s="11" t="s">
        <v>31</v>
      </c>
      <c r="B32" s="12">
        <f>B16+B21+B27+B31</f>
        <v>13474999.999999998</v>
      </c>
    </row>
    <row r="36" spans="1:4" ht="15.75" customHeight="1" x14ac:dyDescent="0.2">
      <c r="A36" s="20"/>
    </row>
    <row r="37" spans="1:4" ht="15.75" customHeight="1" x14ac:dyDescent="0.2">
      <c r="A37" s="20"/>
      <c r="B37" s="38"/>
      <c r="D37" s="20"/>
    </row>
  </sheetData>
  <mergeCells count="6">
    <mergeCell ref="A28:B28"/>
    <mergeCell ref="A1:B1"/>
    <mergeCell ref="A6:B6"/>
    <mergeCell ref="A12:B12"/>
    <mergeCell ref="A17:B17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49"/>
  <sheetViews>
    <sheetView tabSelected="1" workbookViewId="0">
      <selection activeCell="L40" sqref="L40"/>
    </sheetView>
  </sheetViews>
  <sheetFormatPr defaultColWidth="12.5703125" defaultRowHeight="15.75" customHeight="1" x14ac:dyDescent="0.2"/>
  <cols>
    <col min="1" max="1" width="31.7109375" bestFit="1" customWidth="1"/>
    <col min="2" max="2" width="17.7109375" customWidth="1"/>
    <col min="3" max="3" width="13.28515625" bestFit="1" customWidth="1"/>
    <col min="4" max="4" width="13.5703125" bestFit="1" customWidth="1"/>
    <col min="5" max="6" width="13.28515625" bestFit="1" customWidth="1"/>
    <col min="7" max="7" width="15" customWidth="1"/>
  </cols>
  <sheetData>
    <row r="1" spans="1:7" ht="15.75" customHeight="1" x14ac:dyDescent="0.25">
      <c r="A1" s="14"/>
      <c r="B1" s="30" t="s">
        <v>46</v>
      </c>
      <c r="C1" s="30" t="s">
        <v>47</v>
      </c>
      <c r="D1" s="30" t="s">
        <v>48</v>
      </c>
      <c r="E1" s="30" t="s">
        <v>49</v>
      </c>
      <c r="F1" s="30" t="s">
        <v>50</v>
      </c>
      <c r="G1" s="31" t="s">
        <v>76</v>
      </c>
    </row>
    <row r="2" spans="1:7" ht="15.75" customHeight="1" x14ac:dyDescent="0.25">
      <c r="A2" s="15" t="s">
        <v>74</v>
      </c>
      <c r="B2" s="16">
        <v>0.3</v>
      </c>
      <c r="C2" s="16">
        <v>0.5</v>
      </c>
      <c r="D2" s="16">
        <v>0.8</v>
      </c>
      <c r="E2" s="16">
        <v>0</v>
      </c>
      <c r="F2" s="16">
        <v>0</v>
      </c>
      <c r="G2" s="15"/>
    </row>
    <row r="3" spans="1:7" ht="15.75" customHeight="1" x14ac:dyDescent="0.25">
      <c r="A3" s="39" t="s">
        <v>77</v>
      </c>
      <c r="B3" s="16"/>
      <c r="C3" s="16"/>
      <c r="D3" s="16"/>
      <c r="E3" s="16"/>
      <c r="F3" s="16"/>
      <c r="G3" s="15"/>
    </row>
    <row r="4" spans="1:7" ht="15.75" customHeight="1" x14ac:dyDescent="0.25">
      <c r="A4" s="15" t="s">
        <v>51</v>
      </c>
      <c r="B4" s="5">
        <f>('Общая продуктивность'!$B$22*B2)</f>
        <v>62758799.999999985</v>
      </c>
      <c r="C4" s="5">
        <f>('Общая продуктивность'!$B$22*C2)</f>
        <v>104597999.99999999</v>
      </c>
      <c r="D4" s="5">
        <f>('Общая продуктивность'!$B$22*D2)</f>
        <v>167356800</v>
      </c>
      <c r="E4" s="5">
        <f>('Общая продуктивность'!$B$22*E2)</f>
        <v>0</v>
      </c>
      <c r="F4" s="5">
        <f>('Общая продуктивность'!$B$22*F2)</f>
        <v>0</v>
      </c>
      <c r="G4" s="5">
        <f t="shared" ref="G4:G17" si="0">SUM(B4:F4)</f>
        <v>334713600</v>
      </c>
    </row>
    <row r="5" spans="1:7" ht="15.75" customHeight="1" x14ac:dyDescent="0.25">
      <c r="A5" s="15"/>
      <c r="B5" s="5"/>
      <c r="C5" s="5"/>
      <c r="D5" s="5"/>
      <c r="E5" s="5"/>
      <c r="F5" s="5"/>
      <c r="G5" s="5"/>
    </row>
    <row r="6" spans="1:7" ht="15.75" customHeight="1" x14ac:dyDescent="0.25">
      <c r="A6" s="34" t="s">
        <v>78</v>
      </c>
      <c r="B6" s="5"/>
      <c r="C6" s="5"/>
      <c r="D6" s="5"/>
      <c r="E6" s="5"/>
      <c r="F6" s="5"/>
      <c r="G6" s="5"/>
    </row>
    <row r="7" spans="1:7" ht="15.75" customHeight="1" x14ac:dyDescent="0.25">
      <c r="A7" s="15"/>
      <c r="B7" s="5"/>
      <c r="C7" s="5"/>
      <c r="D7" s="5"/>
      <c r="E7" s="5"/>
      <c r="F7" s="5"/>
      <c r="G7" s="5"/>
    </row>
    <row r="8" spans="1:7" ht="15.75" customHeight="1" x14ac:dyDescent="0.25">
      <c r="A8" s="34" t="s">
        <v>32</v>
      </c>
      <c r="B8" s="5">
        <f>('ИИ Юрист'!B32*B2)</f>
        <v>4042499.9999999991</v>
      </c>
      <c r="C8" s="5">
        <f>'ИИ Юрист'!B32*C2</f>
        <v>6737499.9999999991</v>
      </c>
      <c r="D8" s="5">
        <f>'ИИ Юрист'!B32*D2</f>
        <v>10780000</v>
      </c>
      <c r="E8" s="5">
        <f>'ИИ Юрист'!B32*E2</f>
        <v>0</v>
      </c>
      <c r="F8" s="5">
        <f>'ИИ Юрист'!B32*F2</f>
        <v>0</v>
      </c>
      <c r="G8" s="5">
        <f t="shared" si="0"/>
        <v>21560000</v>
      </c>
    </row>
    <row r="9" spans="1:7" ht="15.75" customHeight="1" x14ac:dyDescent="0.25">
      <c r="A9" s="32" t="s">
        <v>52</v>
      </c>
      <c r="B9" s="33">
        <f t="shared" ref="B9:F9" si="1">B4+B8</f>
        <v>66801299.999999985</v>
      </c>
      <c r="C9" s="33">
        <f t="shared" si="1"/>
        <v>111335499.99999999</v>
      </c>
      <c r="D9" s="33">
        <f t="shared" si="1"/>
        <v>178136800</v>
      </c>
      <c r="E9" s="33">
        <f t="shared" si="1"/>
        <v>0</v>
      </c>
      <c r="F9" s="33">
        <f t="shared" si="1"/>
        <v>0</v>
      </c>
      <c r="G9" s="33">
        <f t="shared" si="0"/>
        <v>356273600</v>
      </c>
    </row>
    <row r="10" spans="1:7" ht="15.75" customHeight="1" x14ac:dyDescent="0.25">
      <c r="A10" s="32"/>
      <c r="B10" s="33"/>
      <c r="C10" s="33"/>
      <c r="D10" s="33"/>
      <c r="E10" s="33"/>
      <c r="F10" s="33"/>
      <c r="G10" s="33"/>
    </row>
    <row r="11" spans="1:7" ht="15.75" customHeight="1" x14ac:dyDescent="0.25">
      <c r="A11" s="34" t="s">
        <v>65</v>
      </c>
      <c r="B11" s="5">
        <f>Затраты!B3+Затраты!B4+Затраты!B5+Затраты!B6</f>
        <v>0</v>
      </c>
      <c r="C11" s="5">
        <f>(Затраты!B3+Затраты!B4+Затраты!B5+Затраты!B6)/2</f>
        <v>0</v>
      </c>
      <c r="D11" s="5">
        <f>(Затраты!B3+Затраты!B4+Затраты!B5+Затраты!B6)/2</f>
        <v>0</v>
      </c>
      <c r="E11" s="5"/>
      <c r="F11" s="5"/>
      <c r="G11" s="5">
        <f t="shared" si="0"/>
        <v>0</v>
      </c>
    </row>
    <row r="12" spans="1:7" ht="15.75" customHeight="1" x14ac:dyDescent="0.25">
      <c r="A12" s="15" t="s">
        <v>53</v>
      </c>
      <c r="B12" s="5">
        <v>10000000</v>
      </c>
      <c r="C12" s="5">
        <v>0</v>
      </c>
      <c r="D12" s="5">
        <v>0</v>
      </c>
      <c r="E12" s="5">
        <v>0</v>
      </c>
      <c r="F12" s="5">
        <v>0</v>
      </c>
      <c r="G12" s="5">
        <f t="shared" si="0"/>
        <v>10000000</v>
      </c>
    </row>
    <row r="13" spans="1:7" ht="15.75" customHeight="1" x14ac:dyDescent="0.25">
      <c r="A13" s="15" t="s">
        <v>54</v>
      </c>
      <c r="B13" s="5">
        <v>0</v>
      </c>
      <c r="C13" s="5">
        <v>8000000</v>
      </c>
      <c r="D13" s="5">
        <v>8000000</v>
      </c>
      <c r="E13" s="5"/>
      <c r="F13" s="5"/>
      <c r="G13" s="5">
        <f t="shared" si="0"/>
        <v>16000000</v>
      </c>
    </row>
    <row r="14" spans="1:7" ht="15.75" customHeight="1" x14ac:dyDescent="0.25">
      <c r="A14" s="42" t="s">
        <v>55</v>
      </c>
      <c r="B14" s="5">
        <f>B11+B12+B13</f>
        <v>10000000</v>
      </c>
      <c r="C14" s="5">
        <f t="shared" ref="C14:F14" si="2">C11+C12+C13</f>
        <v>8000000</v>
      </c>
      <c r="D14" s="5">
        <f t="shared" si="2"/>
        <v>8000000</v>
      </c>
      <c r="E14" s="5">
        <f t="shared" si="2"/>
        <v>0</v>
      </c>
      <c r="F14" s="5">
        <f t="shared" si="2"/>
        <v>0</v>
      </c>
      <c r="G14" s="5">
        <f t="shared" si="0"/>
        <v>26000000</v>
      </c>
    </row>
    <row r="15" spans="1:7" s="41" customFormat="1" ht="15.75" customHeight="1" x14ac:dyDescent="0.25">
      <c r="A15" s="39" t="s">
        <v>75</v>
      </c>
      <c r="B15" s="40">
        <f>B9-B14</f>
        <v>56801299.999999985</v>
      </c>
      <c r="C15" s="40">
        <f>C9-C14</f>
        <v>103335499.99999999</v>
      </c>
      <c r="D15" s="40">
        <f>D9-D14</f>
        <v>170136800</v>
      </c>
      <c r="E15" s="40">
        <f>E9-E14</f>
        <v>0</v>
      </c>
      <c r="F15" s="40">
        <f>F9-F14</f>
        <v>0</v>
      </c>
      <c r="G15" s="40">
        <f t="shared" si="0"/>
        <v>330273600</v>
      </c>
    </row>
    <row r="16" spans="1:7" ht="15.75" customHeight="1" x14ac:dyDescent="0.25">
      <c r="A16" s="15" t="s">
        <v>4</v>
      </c>
      <c r="B16" s="5">
        <f>IF(B15&gt;0,B15*'Финансы и Стандарты'!$B$3,0)</f>
        <v>14200324.999999996</v>
      </c>
      <c r="C16" s="5">
        <f>IF(C15&gt;0,C15*'Финансы и Стандарты'!$B$3,0)</f>
        <v>25833874.999999996</v>
      </c>
      <c r="D16" s="5">
        <f>IF(D15&gt;0,D15*'Финансы и Стандарты'!$B$3,0)</f>
        <v>42534200</v>
      </c>
      <c r="E16" s="5">
        <f>IF(E15&gt;0,E15*'Финансы и Стандарты'!$B$3,0)</f>
        <v>0</v>
      </c>
      <c r="F16" s="5">
        <f>IF(F15&gt;0,F15*'Финансы и Стандарты'!$B$3,0)</f>
        <v>0</v>
      </c>
      <c r="G16" s="5">
        <f t="shared" si="0"/>
        <v>82568400</v>
      </c>
    </row>
    <row r="17" spans="1:7" ht="15.75" customHeight="1" x14ac:dyDescent="0.25">
      <c r="A17" s="15" t="s">
        <v>56</v>
      </c>
      <c r="B17" s="5">
        <f t="shared" ref="B17:F17" si="3">B15-B16</f>
        <v>42600974.999999985</v>
      </c>
      <c r="C17" s="5">
        <f t="shared" si="3"/>
        <v>77501624.999999985</v>
      </c>
      <c r="D17" s="5">
        <f t="shared" si="3"/>
        <v>127602600</v>
      </c>
      <c r="E17" s="5">
        <f t="shared" si="3"/>
        <v>0</v>
      </c>
      <c r="F17" s="5">
        <f t="shared" si="3"/>
        <v>0</v>
      </c>
      <c r="G17" s="5">
        <f t="shared" si="0"/>
        <v>247705199.99999997</v>
      </c>
    </row>
    <row r="18" spans="1:7" ht="15.75" customHeight="1" x14ac:dyDescent="0.25">
      <c r="A18" s="15" t="s">
        <v>57</v>
      </c>
      <c r="B18" s="18">
        <f>1/(1+'Финансы и Стандарты'!$B$2)^1</f>
        <v>0.84745762711864414</v>
      </c>
      <c r="C18" s="18">
        <f>1/(1+'Финансы и Стандарты'!$B$2)^2</f>
        <v>0.71818442976156283</v>
      </c>
      <c r="D18" s="18">
        <f>1/(1+'Финансы и Стандарты'!$B$2)^3</f>
        <v>0.6086308726792905</v>
      </c>
      <c r="E18" s="18">
        <f>1/(1+'Финансы и Стандарты'!$B$2)^4</f>
        <v>0.51578887515194116</v>
      </c>
      <c r="F18" s="18">
        <f>1/(1+'Финансы и Стандарты'!$B$2)^5</f>
        <v>0.43710921623045873</v>
      </c>
      <c r="G18" s="18"/>
    </row>
    <row r="19" spans="1:7" ht="15.75" customHeight="1" x14ac:dyDescent="0.25">
      <c r="A19" s="15" t="s">
        <v>58</v>
      </c>
      <c r="B19" s="5">
        <f>B15*B18</f>
        <v>48136694.915254228</v>
      </c>
      <c r="C19" s="5">
        <f t="shared" ref="C19:F19" si="4">C15*C18</f>
        <v>74213947.141625971</v>
      </c>
      <c r="D19" s="5">
        <f t="shared" si="4"/>
        <v>103550509.05886191</v>
      </c>
      <c r="E19" s="5">
        <f t="shared" si="4"/>
        <v>0</v>
      </c>
      <c r="F19" s="5">
        <f t="shared" si="4"/>
        <v>0</v>
      </c>
      <c r="G19" s="5">
        <f>SUM(B19:F19)</f>
        <v>225901151.11574212</v>
      </c>
    </row>
    <row r="20" spans="1:7" ht="15.75" customHeight="1" x14ac:dyDescent="0.25">
      <c r="A20" s="32" t="s">
        <v>59</v>
      </c>
      <c r="B20" s="68">
        <f>(G9-G14-G16)/(G14+G16)</f>
        <v>2.2815589066431854</v>
      </c>
      <c r="C20" s="69"/>
      <c r="D20" s="69"/>
      <c r="E20" s="69"/>
      <c r="F20" s="69"/>
      <c r="G20" s="66"/>
    </row>
    <row r="22" spans="1:7" ht="15.75" customHeight="1" x14ac:dyDescent="0.25">
      <c r="A22" s="15"/>
      <c r="B22" s="17" t="s">
        <v>46</v>
      </c>
      <c r="C22" s="17" t="s">
        <v>47</v>
      </c>
      <c r="D22" s="17" t="s">
        <v>48</v>
      </c>
      <c r="E22" s="17" t="s">
        <v>49</v>
      </c>
      <c r="F22" s="17" t="s">
        <v>50</v>
      </c>
    </row>
    <row r="23" spans="1:7" ht="15.75" customHeight="1" x14ac:dyDescent="0.25">
      <c r="A23" s="15" t="s">
        <v>60</v>
      </c>
      <c r="B23" s="5">
        <f t="shared" ref="B23:F23" si="5">B9</f>
        <v>66801299.999999985</v>
      </c>
      <c r="C23" s="5">
        <f t="shared" si="5"/>
        <v>111335499.99999999</v>
      </c>
      <c r="D23" s="5">
        <f t="shared" si="5"/>
        <v>178136800</v>
      </c>
      <c r="E23" s="5">
        <f t="shared" si="5"/>
        <v>0</v>
      </c>
      <c r="F23" s="5">
        <f t="shared" si="5"/>
        <v>0</v>
      </c>
    </row>
    <row r="24" spans="1:7" ht="15.75" customHeight="1" x14ac:dyDescent="0.25">
      <c r="A24" s="15" t="s">
        <v>55</v>
      </c>
      <c r="B24" s="5">
        <f t="shared" ref="B24:F24" si="6">-B14</f>
        <v>-10000000</v>
      </c>
      <c r="C24" s="5">
        <f t="shared" si="6"/>
        <v>-8000000</v>
      </c>
      <c r="D24" s="5">
        <f t="shared" si="6"/>
        <v>-8000000</v>
      </c>
      <c r="E24" s="5">
        <f t="shared" si="6"/>
        <v>0</v>
      </c>
      <c r="F24" s="5">
        <f t="shared" si="6"/>
        <v>0</v>
      </c>
    </row>
    <row r="25" spans="1:7" ht="15.75" customHeight="1" x14ac:dyDescent="0.25">
      <c r="A25" s="15" t="s">
        <v>61</v>
      </c>
      <c r="B25" s="5">
        <f t="shared" ref="B25:F25" si="7">B19</f>
        <v>48136694.915254228</v>
      </c>
      <c r="C25" s="5">
        <f t="shared" si="7"/>
        <v>74213947.141625971</v>
      </c>
      <c r="D25" s="5">
        <f t="shared" si="7"/>
        <v>103550509.05886191</v>
      </c>
      <c r="E25" s="5">
        <f t="shared" si="7"/>
        <v>0</v>
      </c>
      <c r="F25" s="5">
        <f t="shared" si="7"/>
        <v>0</v>
      </c>
    </row>
    <row r="47" spans="1:1" ht="15.75" customHeight="1" x14ac:dyDescent="0.2">
      <c r="A47" s="20"/>
    </row>
    <row r="48" spans="1:1" ht="15.75" customHeight="1" x14ac:dyDescent="0.2">
      <c r="A48" s="20"/>
    </row>
    <row r="49" spans="1:1" ht="15.75" customHeight="1" x14ac:dyDescent="0.2">
      <c r="A49" s="20"/>
    </row>
  </sheetData>
  <mergeCells count="1">
    <mergeCell ref="B20:G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Методология</vt:lpstr>
      <vt:lpstr>Финансы и Стандарты</vt:lpstr>
      <vt:lpstr>Затраты</vt:lpstr>
      <vt:lpstr>Общая продуктивность</vt:lpstr>
      <vt:lpstr>ИИ Юрист</vt:lpstr>
      <vt:lpstr>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Сычугов Олег</cp:lastModifiedBy>
  <dcterms:modified xsi:type="dcterms:W3CDTF">2026-04-07T10:23:38Z</dcterms:modified>
</cp:coreProperties>
</file>